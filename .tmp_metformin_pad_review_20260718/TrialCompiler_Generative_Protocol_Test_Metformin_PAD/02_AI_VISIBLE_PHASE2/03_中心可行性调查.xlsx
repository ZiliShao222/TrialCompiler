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cdc4f6d1a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sibility_Summary" sheetId="1" r:id="Rf2f78c623c89416d"/>
    <x:sheet xmlns:r="http://schemas.openxmlformats.org/officeDocument/2006/relationships" name="Site_Feasibility" sheetId="2" r:id="R39ca26e90aec4ba3"/>
    <x:sheet xmlns:r="http://schemas.openxmlformats.org/officeDocument/2006/relationships" name="Operational_Risks" sheetId="3" r:id="R9235d2cc5c2b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%"/>
    <x:numFmt numFmtId="202" formatCode="0.0"/>
    <x:numFmt numFmtId="203" formatCode="0%"/>
    <x:numFmt numFmtId="204" formatCode="0.00"/>
    <x:numFmt numFmtId="205" formatCode="0 &quot;m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a7066ce264854" /><Relationship Type="http://schemas.openxmlformats.org/officeDocument/2006/relationships/theme" Target="/xl/theme/theme1.xml" Id="R312ccb47745540fa" /><Relationship Type="http://schemas.openxmlformats.org/officeDocument/2006/relationships/sharedStrings" Target="/xl/sharedStrings.xml" Id="R54ba15c7833349ba" /><Relationship Type="http://schemas.openxmlformats.org/officeDocument/2006/relationships/worksheet" Target="/xl/worksheets/sheet1.xml" Id="Rf2f78c623c89416d" /><Relationship Type="http://schemas.openxmlformats.org/officeDocument/2006/relationships/worksheet" Target="/xl/worksheets/sheet2.xml" Id="R39ca26e90aec4ba3" /><Relationship Type="http://schemas.openxmlformats.org/officeDocument/2006/relationships/worksheet" Target="/xl/worksheets/sheet3.xml" Id="R9235d2cc5c2b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6" hidden="0" customWidth="1"/>
    <x:col min="4" max="4" width="16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9.200000762939453" hidden="0" customHeight="1">
      <x:c r="A1" s="5" t="str">
        <x:v>中心可行性调查：汇总与情景假设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12" t="str">
        <x:v>计划区域</x:v>
      </x:c>
      <x:c r="B3" s="17" t="str">
        <x:v>美国 + 中国</x:v>
      </x:c>
    </x:row>
    <x:row r="4" ht="15" hidden="0" customHeight="1">
      <x:c r="A4" s="12" t="str">
        <x:v>初始候选中心数</x:v>
      </x:c>
      <x:c r="B4" s="17" t="n">
        <x:v>20</x:v>
      </x:c>
    </x:row>
    <x:row r="5" ht="15" hidden="0" customHeight="1">
      <x:c r="A5" s="12" t="str">
        <x:v>目标样本量（占位）</x:v>
      </x:c>
      <x:c r="B5" s="17" t="n">
        <x:v>200</x:v>
      </x:c>
    </x:row>
    <x:row r="6" ht="15" hidden="0" customHeight="1">
      <x:c r="A6" s="12" t="str">
        <x:v>基准招募月数</x:v>
      </x:c>
      <x:c r="B6" s="17" t="n">
        <x:v>18</x:v>
      </x:c>
    </x:row>
    <x:row r="7" ht="15" hidden="0" customHeight="1">
      <x:c r="A7" s="12" t="str">
        <x:v>基准筛选失败率</x:v>
      </x:c>
      <x:c r="B7" s="36" t="n">
        <x:v>0.55</x:v>
      </x:c>
    </x:row>
    <x:row r="8" ht="15" hidden="0" customHeight="1">
      <x:c r="A8" s="12" t="str">
        <x:v>最低合格走廊长度(m)</x:v>
      </x:c>
      <x:c r="B8" s="17" t="n">
        <x:v>30</x:v>
      </x:c>
    </x:row>
    <x:row r="9" ht="26.399999618530273" hidden="0" customHeight="1">
      <x:c r="A9" s="12" t="str">
        <x:v>关键终点评估</x:v>
      </x:c>
      <x:c r="B9" s="17" t="str">
        <x:v>标准化6MWT；平板为支持性候选</x:v>
      </x:c>
    </x:row>
    <x:row r="10" ht="52.79999923706055" hidden="0" customHeight="1">
      <x:c r="A10" s="12" t="str">
        <x:v>用途</x:v>
      </x:c>
      <x:c r="B10" s="17" t="str">
        <x:v>Phase 2修订中心数、招募期、SoA、终点质控和区域策略</x:v>
      </x:c>
    </x:row>
    <x:row r="11"/>
    <x:row r="12" ht="15" hidden="0" customHeight="1">
      <x:c r="A12" s="12" t="str">
        <x:v>公式驱动汇总</x:v>
      </x:c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</x:row>
    <x:row r="13" ht="15" hidden="0" customHeight="1">
      <x:c r="A13" s="26" t="str">
        <x:v>指标</x:v>
      </x:c>
      <x:c r="B13" s="26" t="str">
        <x:v>全体</x:v>
      </x:c>
      <x:c r="C13" s="26" t="str">
        <x:v>美国</x:v>
      </x:c>
      <x:c r="D13" s="26" t="str">
        <x:v>中国</x:v>
      </x:c>
      <x:c r="E13" s="26" t="str">
        <x:v>目标/阈值</x:v>
      </x:c>
      <x:c r="F13" s="26" t="str">
        <x:v>判定</x:v>
      </x:c>
    </x:row>
    <x:row r="14" ht="15" hidden="0" customHeight="1">
      <x:c r="A14" s="17" t="str">
        <x:v>中心数</x:v>
      </x:c>
      <x:c r="B14" s="17" t="n">
        <x:f>COUNTA(Site_Feasibility!A4:A23)</x:f>
        <x:v>20</x:v>
      </x:c>
      <x:c r="C14" s="17" t="n">
        <x:f>COUNTIF(Site_Feasibility!B4:B23,"US")</x:f>
        <x:v>8</x:v>
      </x:c>
      <x:c r="D14" s="17" t="n">
        <x:f>COUNTIF(Site_Feasibility!B4:B23,"CN")</x:f>
        <x:v>12</x:v>
      </x:c>
      <x:c r="E14" s="17" t="n">
        <x:f>20</x:f>
        <x:v>20</x:v>
      </x:c>
      <x:c r="F14" s="17" t="str">
        <x:f>IF(B14&gt;=E14,"通过","不足")</x:f>
        <x:v>通过</x:v>
      </x:c>
    </x:row>
    <x:row r="15" ht="15" hidden="0" customHeight="1">
      <x:c r="A15" s="17" t="str">
        <x:v>预计月随机数</x:v>
      </x:c>
      <x:c r="B15" s="34" t="n">
        <x:f>SUM(Site_Feasibility!J4:J23)</x:f>
        <x:v>21.3</x:v>
      </x:c>
      <x:c r="C15" s="34" t="n">
        <x:f>SUMIF(Site_Feasibility!B4:B23,"US",Site_Feasibility!J4:J23)</x:f>
        <x:v>7.75</x:v>
      </x:c>
      <x:c r="D15" s="34" t="n">
        <x:f>SUMIF(Site_Feasibility!B4:B23,"CN",Site_Feasibility!J4:J23)</x:f>
        <x:v>13.549999999999999</x:v>
      </x:c>
      <x:c r="E15" s="34" t="n">
        <x:f>B5/B6</x:f>
        <x:v>11.11111111111111</x:v>
      </x:c>
      <x:c r="F15" s="17" t="str">
        <x:f>IF(B15&gt;=E15,"通过","不足")</x:f>
        <x:v>通过</x:v>
      </x:c>
    </x:row>
    <x:row r="16" ht="15" hidden="0" customHeight="1">
      <x:c r="A16" s="17" t="str">
        <x:v>平均启动天数</x:v>
      </x:c>
      <x:c r="B16" s="34" t="n">
        <x:f>AVERAGE(Site_Feasibility!Q4:Q23)</x:f>
        <x:v>108.25</x:v>
      </x:c>
      <x:c r="C16" s="34" t="n">
        <x:f>AVERAGEIF(Site_Feasibility!B4:B23,"US",Site_Feasibility!Q4:Q23)</x:f>
        <x:v>101.5</x:v>
      </x:c>
      <x:c r="D16" s="34" t="n">
        <x:f>AVERAGEIF(Site_Feasibility!B4:B23,"CN",Site_Feasibility!Q4:Q23)</x:f>
        <x:v>112.75</x:v>
      </x:c>
      <x:c r="E16" s="34" t="n">
        <x:f>120</x:f>
        <x:v>120</x:v>
      </x:c>
      <x:c r="F16" s="17" t="str">
        <x:f>IF(B16&lt;=E16,"通过","偏慢")</x:f>
        <x:v>通过</x:v>
      </x:c>
    </x:row>
    <x:row r="17" ht="15" hidden="0" customHeight="1">
      <x:c r="A17" s="17" t="str">
        <x:v>30m走廊合格率</x:v>
      </x:c>
      <x:c r="B17" s="32" t="n">
        <x:f>COUNTIF(Site_Feasibility!L4:L23,"&gt;=30")/B14</x:f>
        <x:v>0.8</x:v>
      </x:c>
      <x:c r="C17" s="32" t="n">
        <x:f>COUNTIFS(Site_Feasibility!B4:B23,"US",Site_Feasibility!L4:L23,"&gt;=30")/C14</x:f>
        <x:v>0.75</x:v>
      </x:c>
      <x:c r="D17" s="32" t="n">
        <x:f>COUNTIFS(Site_Feasibility!B4:B23,"CN",Site_Feasibility!L4:L23,"&gt;=30")/D14</x:f>
        <x:v>0.8333333333333334</x:v>
      </x:c>
      <x:c r="E17" s="32" t="n">
        <x:f>0.9</x:f>
        <x:v>0.9</x:v>
      </x:c>
      <x:c r="F17" s="17" t="str">
        <x:f>IF(B17&gt;=E17,"通过","需整改")</x:f>
        <x:v>需整改</x:v>
      </x:c>
    </x:row>
    <x:row r="18" ht="15" hidden="0" customHeight="1">
      <x:c r="A18" s="17" t="str">
        <x:v>ABI覆盖率</x:v>
      </x:c>
      <x:c r="B18" s="32" t="n">
        <x:f>COUNTIF(Site_Feasibility!M4:M23,"Y")/B14</x:f>
        <x:v>1</x:v>
      </x:c>
      <x:c r="C18" s="32" t="n">
        <x:f>COUNTIFS(Site_Feasibility!B4:B23,"US",Site_Feasibility!M4:M23,"Y")/C14</x:f>
        <x:v>1</x:v>
      </x:c>
      <x:c r="D18" s="32" t="n">
        <x:f>COUNTIFS(Site_Feasibility!B4:B23,"CN",Site_Feasibility!M4:M23,"Y")/D14</x:f>
        <x:v>1</x:v>
      </x:c>
      <x:c r="E18" s="32" t="n">
        <x:f>1</x:f>
        <x:v>1</x:v>
      </x:c>
      <x:c r="F18" s="17" t="str">
        <x:f>IF(B18&gt;=E18,"通过","不足")</x:f>
        <x:v>通过</x:v>
      </x:c>
    </x:row>
    <x:row r="19" ht="15" hidden="0" customHeight="1">
      <x:c r="A19" s="17" t="str">
        <x:v>研究药房覆盖率</x:v>
      </x:c>
      <x:c r="B19" s="32" t="n">
        <x:f>COUNTIF(Site_Feasibility!P4:P23,"Y")/B14</x:f>
        <x:v>1</x:v>
      </x:c>
      <x:c r="C19" s="32" t="n">
        <x:f>COUNTIFS(Site_Feasibility!B4:B23,"US",Site_Feasibility!P4:P23,"Y")/C14</x:f>
        <x:v>1</x:v>
      </x:c>
      <x:c r="D19" s="32" t="n">
        <x:f>COUNTIFS(Site_Feasibility!B4:B23,"CN",Site_Feasibility!P4:P23,"Y")/D14</x:f>
        <x:v>1</x:v>
      </x:c>
      <x:c r="E19" s="32" t="n">
        <x:f>1</x:f>
        <x:v>1</x:v>
      </x:c>
      <x:c r="F19" s="17" t="str">
        <x:f>IF(B19&gt;=E19,"通过","不足")</x:f>
        <x:v>通过</x:v>
      </x:c>
    </x:row>
    <x:row r="20" ht="15" hidden="0" customHeight="1">
      <x:c r="A20" s="17" t="str">
        <x:v>Tier A/B中心数</x:v>
      </x:c>
      <x:c r="B20" s="17" t="n">
        <x:f>COUNTIF(Site_Feasibility!T4:T23,"A")+COUNTIF(Site_Feasibility!T4:T23,"B")</x:f>
        <x:v>15</x:v>
      </x:c>
      <x:c r="C20" s="17" t="n">
        <x:f>COUNTIFS(Site_Feasibility!B4:B23,"US",Site_Feasibility!T4:T23,"A")+COUNTIFS(Site_Feasibility!B4:B23,"US",Site_Feasibility!T4:T23,"B")</x:f>
        <x:v>6</x:v>
      </x:c>
      <x:c r="D20" s="17" t="n">
        <x:f>COUNTIFS(Site_Feasibility!B4:B23,"CN",Site_Feasibility!T4:T23,"A")+COUNTIFS(Site_Feasibility!B4:B23,"CN",Site_Feasibility!T4:T23,"B")</x:f>
        <x:v>9</x:v>
      </x:c>
      <x:c r="E20" s="17" t="n">
        <x:f>16</x:f>
        <x:v>16</x:v>
      </x:c>
      <x:c r="F20" s="17" t="str">
        <x:f>IF(B20&gt;=E20,"通过","需替换")</x:f>
        <x:v>需替换</x:v>
      </x:c>
    </x:row>
    <x:row r="21" ht="15" hidden="0" customHeight="1">
      <x:c r="A21" s="17" t="str">
        <x:v>18个月预计随机数</x:v>
      </x:c>
      <x:c r="B21" s="20" t="n">
        <x:f>B15*$B$6</x:f>
        <x:v>383.40000000000003</x:v>
      </x:c>
      <x:c r="C21" s="20" t="n">
        <x:f>C15*$B$6</x:f>
        <x:v>139.5</x:v>
      </x:c>
      <x:c r="D21" s="20" t="n">
        <x:f>D15*$B$6</x:f>
        <x:v>243.89999999999998</x:v>
      </x:c>
      <x:c r="E21" s="20" t="n">
        <x:f>B5</x:f>
        <x:v>200</x:v>
      </x:c>
      <x:c r="F21" s="17" t="str">
        <x:f>IF(B21&gt;=E21,"通过","不足")</x:f>
        <x:v>通过</x:v>
      </x:c>
    </x:row>
    <x:row r="22"/>
  </x:sheetData>
  <x:mergeCells>
    <x:mergeCell ref="A1:L1"/>
    <x:mergeCell ref="A12:L12"/>
  </x:mergeCells>
  <x:conditionalFormatting sqref="F14:F21">
    <x:cfRule type="expression" dxfId="0" priority="1">
      <x:formula>F14="通过"</x:formula>
    </x:cfRule>
    <x:cfRule type="expression" dxfId="1" priority="2">
      <x:formula>F14&lt;&gt;"通过"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16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0" hidden="0" customWidth="1"/>
    <x:col min="14" max="14" width="10" hidden="0" customWidth="1"/>
    <x:col min="15" max="15" width="14" hidden="0" customWidth="1"/>
    <x:col min="16" max="16" width="14" hidden="0" customWidth="1"/>
    <x:col min="17" max="17" width="14" hidden="0" customWidth="1"/>
    <x:col min="18" max="18" width="16" hidden="0" customWidth="1"/>
    <x:col min="19" max="19" width="36" hidden="0" customWidth="1"/>
    <x:col min="20" max="20" width="10" hidden="0" customWidth="1"/>
    <x:col min="21" max="21" width="18" hidden="0" customWidth="1"/>
    <x:col min="22" max="22" width="26" hidden="0" customWidth="1"/>
  </x:cols>
  <x:sheetData>
    <x:row r="1" ht="19.200000762939453" hidden="0" customHeight="1">
      <x:c r="A1" s="5" t="str">
        <x:v>模拟中心可行性原始数据（完全合成）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/>
    <x:row r="3" ht="15" hidden="0" customHeight="1">
      <x:c r="A3" s="26" t="str">
        <x:v>Site_ID</x:v>
      </x:c>
      <x:c r="B3" s="26" t="str">
        <x:v>国家</x:v>
      </x:c>
      <x:c r="C3" s="26" t="str">
        <x:v>中心类型</x:v>
      </x:c>
      <x:c r="D3" s="26" t="str">
        <x:v>月均相关门诊量</x:v>
      </x:c>
      <x:c r="E3" s="26" t="str">
        <x:v>预筛潜在合格率</x:v>
      </x:c>
      <x:c r="F3" s="26" t="str">
        <x:v>知情同意率</x:v>
      </x:c>
      <x:c r="G3" s="26" t="str">
        <x:v>预计筛选失败率</x:v>
      </x:c>
      <x:c r="H3" s="26" t="str">
        <x:v>预计月筛选数</x:v>
      </x:c>
      <x:c r="I3" s="26" t="str">
        <x:v>预计月随机数</x:v>
      </x:c>
      <x:c r="J3" s="26" t="str">
        <x:v>情景调整后月随机数</x:v>
      </x:c>
      <x:c r="K3" s="26" t="str">
        <x:v>PAD RCT经验</x:v>
      </x:c>
      <x:c r="L3" s="26" t="str">
        <x:v>6MWT走廊(m)</x:v>
      </x:c>
      <x:c r="M3" s="26" t="str">
        <x:v>ABI</x:v>
      </x:c>
      <x:c r="N3" s="26" t="str">
        <x:v>平板</x:v>
      </x:c>
      <x:c r="O3" s="26" t="str">
        <x:v>样本处理</x:v>
      </x:c>
      <x:c r="P3" s="26" t="str">
        <x:v>研究药房</x:v>
      </x:c>
      <x:c r="Q3" s="26" t="str">
        <x:v>启动天数</x:v>
      </x:c>
      <x:c r="R3" s="26" t="str">
        <x:v>数字化能力</x:v>
      </x:c>
      <x:c r="S3" s="26" t="str">
        <x:v>主要问题</x:v>
      </x:c>
      <x:c r="T3" s="26" t="str">
        <x:v>Tier</x:v>
      </x:c>
      <x:c r="U3" s="26" t="str">
        <x:v>建议状态</x:v>
      </x:c>
      <x:c r="V3" s="26" t="str">
        <x:v>备注</x:v>
      </x:c>
    </x:row>
    <x:row r="4" ht="15" hidden="0" customHeight="1">
      <x:c r="A4" s="17" t="str">
        <x:v>US01</x:v>
      </x:c>
      <x:c r="B4" s="17" t="str">
        <x:v>US</x:v>
      </x:c>
      <x:c r="C4" s="17" t="str">
        <x:v>Academic vascular center</x:v>
      </x:c>
      <x:c r="D4" s="17" t="n">
        <x:v>42</x:v>
      </x:c>
      <x:c r="E4" s="36" t="n">
        <x:v>0.26</x:v>
      </x:c>
      <x:c r="F4" s="36" t="n">
        <x:v>0.62</x:v>
      </x:c>
      <x:c r="G4" s="36" t="n">
        <x:v>0.52</x:v>
      </x:c>
      <x:c r="H4" s="38" t="n">
        <x:f>D4*E4</x:f>
        <x:v>10.92</x:v>
      </x:c>
      <x:c r="I4" s="38" t="n">
        <x:f>H4*F4</x:f>
        <x:v>6.7703999999999995</x:v>
      </x:c>
      <x:c r="J4" s="38" t="n">
        <x:v>1.4</x:v>
      </x:c>
      <x:c r="K4" s="17" t="str">
        <x:v>High</x:v>
      </x:c>
      <x:c r="L4" s="40" t="n">
        <x:v>35</x:v>
      </x:c>
      <x:c r="M4" s="17" t="str">
        <x:v>Y</x:v>
      </x:c>
      <x:c r="N4" s="17" t="str">
        <x:v>Y</x:v>
      </x:c>
      <x:c r="O4" s="17" t="str">
        <x:v>Y</x:v>
      </x:c>
      <x:c r="P4" s="17" t="str">
        <x:v>Y</x:v>
      </x:c>
      <x:c r="Q4" s="17" t="n">
        <x:v>92</x:v>
      </x:c>
      <x:c r="R4" s="17" t="str">
        <x:v>High</x:v>
      </x:c>
      <x:c r="S4" s="17" t="str">
        <x:v>Competing trials</x:v>
      </x:c>
      <x:c r="T4" s="17" t="str">
        <x:v>A</x:v>
      </x:c>
      <x:c r="U4" s="17" t="str">
        <x:v>Select</x:v>
      </x:c>
      <x:c r="V4" s="17" t="str"/>
    </x:row>
    <x:row r="5" ht="15" hidden="0" customHeight="1">
      <x:c r="A5" s="17" t="str">
        <x:v>US02</x:v>
      </x:c>
      <x:c r="B5" s="17" t="str">
        <x:v>US</x:v>
      </x:c>
      <x:c r="C5" s="17" t="str">
        <x:v>Academic cardiology</x:v>
      </x:c>
      <x:c r="D5" s="17" t="n">
        <x:v>34</x:v>
      </x:c>
      <x:c r="E5" s="36" t="n">
        <x:v>0.22</x:v>
      </x:c>
      <x:c r="F5" s="36" t="n">
        <x:v>0.58</x:v>
      </x:c>
      <x:c r="G5" s="36" t="n">
        <x:v>0.56</x:v>
      </x:c>
      <x:c r="H5" s="38" t="n">
        <x:f>D5*E5</x:f>
        <x:v>7.48</x:v>
      </x:c>
      <x:c r="I5" s="38" t="n">
        <x:f>H5*F5</x:f>
        <x:v>4.3384</x:v>
      </x:c>
      <x:c r="J5" s="38" t="n">
        <x:v>1.05</x:v>
      </x:c>
      <x:c r="K5" s="17" t="str">
        <x:v>High</x:v>
      </x:c>
      <x:c r="L5" s="40" t="n">
        <x:v>30</x:v>
      </x:c>
      <x:c r="M5" s="17" t="str">
        <x:v>Y</x:v>
      </x:c>
      <x:c r="N5" s="17" t="str">
        <x:v>Y</x:v>
      </x:c>
      <x:c r="O5" s="17" t="str">
        <x:v>Y</x:v>
      </x:c>
      <x:c r="P5" s="17" t="str">
        <x:v>Y</x:v>
      </x:c>
      <x:c r="Q5" s="17" t="n">
        <x:v>105</x:v>
      </x:c>
      <x:c r="R5" s="17" t="str">
        <x:v>High</x:v>
      </x:c>
      <x:c r="S5" s="17" t="str">
        <x:v>Limited weekend testing</x:v>
      </x:c>
      <x:c r="T5" s="17" t="str">
        <x:v>A</x:v>
      </x:c>
      <x:c r="U5" s="17" t="str">
        <x:v>Select</x:v>
      </x:c>
      <x:c r="V5" s="17" t="str"/>
    </x:row>
    <x:row r="6" ht="15" hidden="0" customHeight="1">
      <x:c r="A6" s="17" t="str">
        <x:v>US03</x:v>
      </x:c>
      <x:c r="B6" s="17" t="str">
        <x:v>US</x:v>
      </x:c>
      <x:c r="C6" s="17" t="str">
        <x:v>Community vascular</x:v>
      </x:c>
      <x:c r="D6" s="17" t="n">
        <x:v>56</x:v>
      </x:c>
      <x:c r="E6" s="36" t="n">
        <x:v>0.18</x:v>
      </x:c>
      <x:c r="F6" s="36" t="n">
        <x:v>0.55</x:v>
      </x:c>
      <x:c r="G6" s="36" t="n">
        <x:v>0.6</x:v>
      </x:c>
      <x:c r="H6" s="38" t="n">
        <x:f>D6*E6</x:f>
        <x:v>10.08</x:v>
      </x:c>
      <x:c r="I6" s="38" t="n">
        <x:f>H6*F6</x:f>
        <x:v>5.5440000000000005</x:v>
      </x:c>
      <x:c r="J6" s="38" t="n">
        <x:v>0.95</x:v>
      </x:c>
      <x:c r="K6" s="17" t="str">
        <x:v>Medium</x:v>
      </x:c>
      <x:c r="L6" s="40" t="n">
        <x:v>28</x:v>
      </x:c>
      <x:c r="M6" s="17" t="str">
        <x:v>Y</x:v>
      </x:c>
      <x:c r="N6" s="17" t="str">
        <x:v>N</x:v>
      </x:c>
      <x:c r="O6" s="17" t="str">
        <x:v>Y</x:v>
      </x:c>
      <x:c r="P6" s="17" t="str">
        <x:v>Y</x:v>
      </x:c>
      <x:c r="Q6" s="17" t="n">
        <x:v>78</x:v>
      </x:c>
      <x:c r="R6" s="17" t="str">
        <x:v>Medium</x:v>
      </x:c>
      <x:c r="S6" s="17" t="str">
        <x:v>Corridor &lt;30 m</x:v>
      </x:c>
      <x:c r="T6" s="17" t="str">
        <x:v>C</x:v>
      </x:c>
      <x:c r="U6" s="17" t="str">
        <x:v>Conditional</x:v>
      </x:c>
      <x:c r="V6" s="17" t="str">
        <x:v>整改6MWT</x:v>
      </x:c>
    </x:row>
    <x:row r="7" ht="15" hidden="0" customHeight="1">
      <x:c r="A7" s="17" t="str">
        <x:v>US04</x:v>
      </x:c>
      <x:c r="B7" s="17" t="str">
        <x:v>US</x:v>
      </x:c>
      <x:c r="C7" s="17" t="str">
        <x:v>VA-type center</x:v>
      </x:c>
      <x:c r="D7" s="17" t="n">
        <x:v>61</x:v>
      </x:c>
      <x:c r="E7" s="36" t="n">
        <x:v>0.24</x:v>
      </x:c>
      <x:c r="F7" s="36" t="n">
        <x:v>0.5</x:v>
      </x:c>
      <x:c r="G7" s="36" t="n">
        <x:v>0.58</x:v>
      </x:c>
      <x:c r="H7" s="38" t="n">
        <x:f>D7*E7</x:f>
        <x:v>14.639999999999999</x:v>
      </x:c>
      <x:c r="I7" s="38" t="n">
        <x:f>H7*F7</x:f>
        <x:v>7.319999999999999</x:v>
      </x:c>
      <x:c r="J7" s="38" t="n">
        <x:v>1.2</x:v>
      </x:c>
      <x:c r="K7" s="17" t="str">
        <x:v>High</x:v>
      </x:c>
      <x:c r="L7" s="40" t="n">
        <x:v>36</x:v>
      </x:c>
      <x:c r="M7" s="17" t="str">
        <x:v>Y</x:v>
      </x:c>
      <x:c r="N7" s="17" t="str">
        <x:v>Y</x:v>
      </x:c>
      <x:c r="O7" s="17" t="str">
        <x:v>Y</x:v>
      </x:c>
      <x:c r="P7" s="17" t="str">
        <x:v>Y</x:v>
      </x:c>
      <x:c r="Q7" s="17" t="n">
        <x:v>138</x:v>
      </x:c>
      <x:c r="R7" s="17" t="str">
        <x:v>High</x:v>
      </x:c>
      <x:c r="S7" s="17" t="str">
        <x:v>Slow contracting</x:v>
      </x:c>
      <x:c r="T7" s="17" t="str">
        <x:v>B</x:v>
      </x:c>
      <x:c r="U7" s="17" t="str">
        <x:v>Select</x:v>
      </x:c>
      <x:c r="V7" s="17" t="str"/>
    </x:row>
    <x:row r="8" ht="15" hidden="0" customHeight="1">
      <x:c r="A8" s="17" t="str">
        <x:v>US05</x:v>
      </x:c>
      <x:c r="B8" s="17" t="str">
        <x:v>US</x:v>
      </x:c>
      <x:c r="C8" s="17" t="str">
        <x:v>Academic endocrine/vascular</x:v>
      </x:c>
      <x:c r="D8" s="17" t="n">
        <x:v>28</x:v>
      </x:c>
      <x:c r="E8" s="36" t="n">
        <x:v>0.2</x:v>
      </x:c>
      <x:c r="F8" s="36" t="n">
        <x:v>0.6</x:v>
      </x:c>
      <x:c r="G8" s="36" t="n">
        <x:v>0.48</x:v>
      </x:c>
      <x:c r="H8" s="38" t="n">
        <x:f>D8*E8</x:f>
        <x:v>5.6000000000000005</x:v>
      </x:c>
      <x:c r="I8" s="38" t="n">
        <x:f>H8*F8</x:f>
        <x:v>3.3600000000000003</x:v>
      </x:c>
      <x:c r="J8" s="38" t="n">
        <x:v>0.75</x:v>
      </x:c>
      <x:c r="K8" s="17" t="str">
        <x:v>Medium</x:v>
      </x:c>
      <x:c r="L8" s="40" t="n">
        <x:v>32</x:v>
      </x:c>
      <x:c r="M8" s="17" t="str">
        <x:v>Y</x:v>
      </x:c>
      <x:c r="N8" s="17" t="str">
        <x:v>Y</x:v>
      </x:c>
      <x:c r="O8" s="17" t="str">
        <x:v>Y</x:v>
      </x:c>
      <x:c r="P8" s="17" t="str">
        <x:v>Y</x:v>
      </x:c>
      <x:c r="Q8" s="17" t="n">
        <x:v>88</x:v>
      </x:c>
      <x:c r="R8" s="17" t="str">
        <x:v>High</x:v>
      </x:c>
      <x:c r="S8" s="17" t="str">
        <x:v>Referral dependent</x:v>
      </x:c>
      <x:c r="T8" s="17" t="str">
        <x:v>B</x:v>
      </x:c>
      <x:c r="U8" s="17" t="str">
        <x:v>Select</x:v>
      </x:c>
      <x:c r="V8" s="17" t="str"/>
    </x:row>
    <x:row r="9" ht="15" hidden="0" customHeight="1">
      <x:c r="A9" s="17" t="str">
        <x:v>US06</x:v>
      </x:c>
      <x:c r="B9" s="17" t="str">
        <x:v>US</x:v>
      </x:c>
      <x:c r="C9" s="17" t="str">
        <x:v>Community cardiology</x:v>
      </x:c>
      <x:c r="D9" s="17" t="n">
        <x:v>49</x:v>
      </x:c>
      <x:c r="E9" s="36" t="n">
        <x:v>0.15</x:v>
      </x:c>
      <x:c r="F9" s="36" t="n">
        <x:v>0.54</x:v>
      </x:c>
      <x:c r="G9" s="36" t="n">
        <x:v>0.62</x:v>
      </x:c>
      <x:c r="H9" s="38" t="n">
        <x:f>D9*E9</x:f>
        <x:v>7.35</x:v>
      </x:c>
      <x:c r="I9" s="38" t="n">
        <x:f>H9*F9</x:f>
        <x:v>3.969</x:v>
      </x:c>
      <x:c r="J9" s="38" t="n">
        <x:v>0.55</x:v>
      </x:c>
      <x:c r="K9" s="17" t="str">
        <x:v>Low</x:v>
      </x:c>
      <x:c r="L9" s="40" t="n">
        <x:v>25</x:v>
      </x:c>
      <x:c r="M9" s="17" t="str">
        <x:v>Y</x:v>
      </x:c>
      <x:c r="N9" s="17" t="str">
        <x:v>N</x:v>
      </x:c>
      <x:c r="O9" s="17" t="str">
        <x:v>N</x:v>
      </x:c>
      <x:c r="P9" s="17" t="str">
        <x:v>Y</x:v>
      </x:c>
      <x:c r="Q9" s="17" t="n">
        <x:v>70</x:v>
      </x:c>
      <x:c r="R9" s="17" t="str">
        <x:v>Medium</x:v>
      </x:c>
      <x:c r="S9" s="17" t="str">
        <x:v>Corridor and sample gap</x:v>
      </x:c>
      <x:c r="T9" s="17" t="str">
        <x:v>D</x:v>
      </x:c>
      <x:c r="U9" s="17" t="str">
        <x:v>Do not select</x:v>
      </x:c>
      <x:c r="V9" s="17" t="str"/>
    </x:row>
    <x:row r="10" ht="15" hidden="0" customHeight="1">
      <x:c r="A10" s="17" t="str">
        <x:v>US07</x:v>
      </x:c>
      <x:c r="B10" s="17" t="str">
        <x:v>US</x:v>
      </x:c>
      <x:c r="C10" s="17" t="str">
        <x:v>Academic rehabilitation</x:v>
      </x:c>
      <x:c r="D10" s="17" t="n">
        <x:v>31</x:v>
      </x:c>
      <x:c r="E10" s="36" t="n">
        <x:v>0.3</x:v>
      </x:c>
      <x:c r="F10" s="36" t="n">
        <x:v>0.64</x:v>
      </x:c>
      <x:c r="G10" s="36" t="n">
        <x:v>0.5</x:v>
      </x:c>
      <x:c r="H10" s="38" t="n">
        <x:f>D10*E10</x:f>
        <x:v>9.299999999999999</x:v>
      </x:c>
      <x:c r="I10" s="38" t="n">
        <x:f>H10*F10</x:f>
        <x:v>5.951999999999999</x:v>
      </x:c>
      <x:c r="J10" s="38" t="n">
        <x:v>1.25</x:v>
      </x:c>
      <x:c r="K10" s="17" t="str">
        <x:v>High</x:v>
      </x:c>
      <x:c r="L10" s="40" t="n">
        <x:v>40</x:v>
      </x:c>
      <x:c r="M10" s="17" t="str">
        <x:v>Y</x:v>
      </x:c>
      <x:c r="N10" s="17" t="str">
        <x:v>Y</x:v>
      </x:c>
      <x:c r="O10" s="17" t="str">
        <x:v>Y</x:v>
      </x:c>
      <x:c r="P10" s="17" t="str">
        <x:v>Y</x:v>
      </x:c>
      <x:c r="Q10" s="17" t="n">
        <x:v>115</x:v>
      </x:c>
      <x:c r="R10" s="17" t="str">
        <x:v>High</x:v>
      </x:c>
      <x:c r="S10" s="17" t="str">
        <x:v>Exercise contamination</x:v>
      </x:c>
      <x:c r="T10" s="17" t="str">
        <x:v>A</x:v>
      </x:c>
      <x:c r="U10" s="17" t="str">
        <x:v>Select</x:v>
      </x:c>
      <x:c r="V10" s="17" t="str"/>
    </x:row>
    <x:row r="11" ht="15" hidden="0" customHeight="1">
      <x:c r="A11" s="17" t="str">
        <x:v>US08</x:v>
      </x:c>
      <x:c r="B11" s="17" t="str">
        <x:v>US</x:v>
      </x:c>
      <x:c r="C11" s="17" t="str">
        <x:v>Integrated network</x:v>
      </x:c>
      <x:c r="D11" s="17" t="n">
        <x:v>70</x:v>
      </x:c>
      <x:c r="E11" s="36" t="n">
        <x:v>0.12</x:v>
      </x:c>
      <x:c r="F11" s="36" t="n">
        <x:v>0.48</x:v>
      </x:c>
      <x:c r="G11" s="36" t="n">
        <x:v>0.65</x:v>
      </x:c>
      <x:c r="H11" s="38" t="n">
        <x:f>D11*E11</x:f>
        <x:v>8.4</x:v>
      </x:c>
      <x:c r="I11" s="38" t="n">
        <x:f>H11*F11</x:f>
        <x:v>4.032</x:v>
      </x:c>
      <x:c r="J11" s="38" t="n">
        <x:v>0.6</x:v>
      </x:c>
      <x:c r="K11" s="17" t="str">
        <x:v>Medium</x:v>
      </x:c>
      <x:c r="L11" s="40" t="n">
        <x:v>30</x:v>
      </x:c>
      <x:c r="M11" s="17" t="str">
        <x:v>Y</x:v>
      </x:c>
      <x:c r="N11" s="17" t="str">
        <x:v>Y</x:v>
      </x:c>
      <x:c r="O11" s="17" t="str">
        <x:v>Y</x:v>
      </x:c>
      <x:c r="P11" s="17" t="str">
        <x:v>Y</x:v>
      </x:c>
      <x:c r="Q11" s="17" t="n">
        <x:v>126</x:v>
      </x:c>
      <x:c r="R11" s="17" t="str">
        <x:v>High</x:v>
      </x:c>
      <x:c r="S11" s="17" t="str">
        <x:v>Low consent</x:v>
      </x:c>
      <x:c r="T11" s="17" t="str">
        <x:v>B</x:v>
      </x:c>
      <x:c r="U11" s="17" t="str">
        <x:v>Conditional</x:v>
      </x:c>
      <x:c r="V11" s="17" t="str"/>
    </x:row>
    <x:row r="12" ht="15" hidden="0" customHeight="1">
      <x:c r="A12" s="17" t="str">
        <x:v>CN01</x:v>
      </x:c>
      <x:c r="B12" s="17" t="str">
        <x:v>CN</x:v>
      </x:c>
      <x:c r="C12" s="17" t="str">
        <x:v>三级医院血管外科</x:v>
      </x:c>
      <x:c r="D12" s="17" t="n">
        <x:v>86</x:v>
      </x:c>
      <x:c r="E12" s="36" t="n">
        <x:v>0.18</x:v>
      </x:c>
      <x:c r="F12" s="36" t="n">
        <x:v>0.62</x:v>
      </x:c>
      <x:c r="G12" s="36" t="n">
        <x:v>0.55</x:v>
      </x:c>
      <x:c r="H12" s="38" t="n">
        <x:f>D12*E12</x:f>
        <x:v>15.479999999999999</x:v>
      </x:c>
      <x:c r="I12" s="38" t="n">
        <x:f>H12*F12</x:f>
        <x:v>9.5976</x:v>
      </x:c>
      <x:c r="J12" s="38" t="n">
        <x:v>1.55</x:v>
      </x:c>
      <x:c r="K12" s="17" t="str">
        <x:v>High</x:v>
      </x:c>
      <x:c r="L12" s="40" t="n">
        <x:v>35</x:v>
      </x:c>
      <x:c r="M12" s="17" t="str">
        <x:v>Y</x:v>
      </x:c>
      <x:c r="N12" s="17" t="str">
        <x:v>Y</x:v>
      </x:c>
      <x:c r="O12" s="17" t="str">
        <x:v>Y</x:v>
      </x:c>
      <x:c r="P12" s="17" t="str">
        <x:v>Y</x:v>
      </x:c>
      <x:c r="Q12" s="17" t="n">
        <x:v>110</x:v>
      </x:c>
      <x:c r="R12" s="17" t="str">
        <x:v>High</x:v>
      </x:c>
      <x:c r="S12" s="17" t="str">
        <x:v>标准治疗差异</x:v>
      </x:c>
      <x:c r="T12" s="17" t="str">
        <x:v>A</x:v>
      </x:c>
      <x:c r="U12" s="17" t="str">
        <x:v>Select</x:v>
      </x:c>
      <x:c r="V12" s="17" t="str"/>
    </x:row>
    <x:row r="13" ht="15" hidden="0" customHeight="1">
      <x:c r="A13" s="17" t="str">
        <x:v>CN02</x:v>
      </x:c>
      <x:c r="B13" s="17" t="str">
        <x:v>CN</x:v>
      </x:c>
      <x:c r="C13" s="17" t="str">
        <x:v>三级医院心内科</x:v>
      </x:c>
      <x:c r="D13" s="17" t="n">
        <x:v>74</x:v>
      </x:c>
      <x:c r="E13" s="36" t="n">
        <x:v>0.16</x:v>
      </x:c>
      <x:c r="F13" s="36" t="n">
        <x:v>0.58</x:v>
      </x:c>
      <x:c r="G13" s="36" t="n">
        <x:v>0.58</x:v>
      </x:c>
      <x:c r="H13" s="38" t="n">
        <x:f>D13*E13</x:f>
        <x:v>11.84</x:v>
      </x:c>
      <x:c r="I13" s="38" t="n">
        <x:f>H13*F13</x:f>
        <x:v>6.8671999999999995</x:v>
      </x:c>
      <x:c r="J13" s="38" t="n">
        <x:v>1.15</x:v>
      </x:c>
      <x:c r="K13" s="17" t="str">
        <x:v>High</x:v>
      </x:c>
      <x:c r="L13" s="40" t="n">
        <x:v>30</x:v>
      </x:c>
      <x:c r="M13" s="17" t="str">
        <x:v>Y</x:v>
      </x:c>
      <x:c r="N13" s="17" t="str">
        <x:v>Y</x:v>
      </x:c>
      <x:c r="O13" s="17" t="str">
        <x:v>Y</x:v>
      </x:c>
      <x:c r="P13" s="17" t="str">
        <x:v>Y</x:v>
      </x:c>
      <x:c r="Q13" s="17" t="n">
        <x:v>118</x:v>
      </x:c>
      <x:c r="R13" s="17" t="str">
        <x:v>High</x:v>
      </x:c>
      <x:c r="S13" s="17" t="str">
        <x:v>转诊复杂</x:v>
      </x:c>
      <x:c r="T13" s="17" t="str">
        <x:v>A</x:v>
      </x:c>
      <x:c r="U13" s="17" t="str">
        <x:v>Select</x:v>
      </x:c>
      <x:c r="V13" s="17" t="str"/>
    </x:row>
    <x:row r="14" ht="15" hidden="0" customHeight="1">
      <x:c r="A14" s="17" t="str">
        <x:v>CN03</x:v>
      </x:c>
      <x:c r="B14" s="17" t="str">
        <x:v>CN</x:v>
      </x:c>
      <x:c r="C14" s="17" t="str">
        <x:v>三级医院血管外科</x:v>
      </x:c>
      <x:c r="D14" s="17" t="n">
        <x:v>92</x:v>
      </x:c>
      <x:c r="E14" s="36" t="n">
        <x:v>0.2</x:v>
      </x:c>
      <x:c r="F14" s="36" t="n">
        <x:v>0.65</x:v>
      </x:c>
      <x:c r="G14" s="36" t="n">
        <x:v>0.5</x:v>
      </x:c>
      <x:c r="H14" s="38" t="n">
        <x:f>D14*E14</x:f>
        <x:v>18.400000000000002</x:v>
      </x:c>
      <x:c r="I14" s="38" t="n">
        <x:f>H14*F14</x:f>
        <x:v>11.960000000000003</x:v>
      </x:c>
      <x:c r="J14" s="38" t="n">
        <x:v>1.8</x:v>
      </x:c>
      <x:c r="K14" s="17" t="str">
        <x:v>High</x:v>
      </x:c>
      <x:c r="L14" s="40" t="n">
        <x:v>40</x:v>
      </x:c>
      <x:c r="M14" s="17" t="str">
        <x:v>Y</x:v>
      </x:c>
      <x:c r="N14" s="17" t="str">
        <x:v>Y</x:v>
      </x:c>
      <x:c r="O14" s="17" t="str">
        <x:v>Y</x:v>
      </x:c>
      <x:c r="P14" s="17" t="str">
        <x:v>Y</x:v>
      </x:c>
      <x:c r="Q14" s="17" t="n">
        <x:v>96</x:v>
      </x:c>
      <x:c r="R14" s="17" t="str">
        <x:v>High</x:v>
      </x:c>
      <x:c r="S14" s="17" t="str">
        <x:v>无</x:v>
      </x:c>
      <x:c r="T14" s="17" t="str">
        <x:v>A</x:v>
      </x:c>
      <x:c r="U14" s="17" t="str">
        <x:v>Select</x:v>
      </x:c>
      <x:c r="V14" s="17" t="str"/>
    </x:row>
    <x:row r="15" ht="15" hidden="0" customHeight="1">
      <x:c r="A15" s="17" t="str">
        <x:v>CN04</x:v>
      </x:c>
      <x:c r="B15" s="17" t="str">
        <x:v>CN</x:v>
      </x:c>
      <x:c r="C15" s="17" t="str">
        <x:v>综合医院老年科</x:v>
      </x:c>
      <x:c r="D15" s="17" t="n">
        <x:v>58</x:v>
      </x:c>
      <x:c r="E15" s="36" t="n">
        <x:v>0.14</x:v>
      </x:c>
      <x:c r="F15" s="36" t="n">
        <x:v>0.55</x:v>
      </x:c>
      <x:c r="G15" s="36" t="n">
        <x:v>0.62</x:v>
      </x:c>
      <x:c r="H15" s="38" t="n">
        <x:f>D15*E15</x:f>
        <x:v>8.120000000000001</x:v>
      </x:c>
      <x:c r="I15" s="38" t="n">
        <x:f>H15*F15</x:f>
        <x:v>4.466000000000001</x:v>
      </x:c>
      <x:c r="J15" s="38" t="n">
        <x:v>0.65</x:v>
      </x:c>
      <x:c r="K15" s="17" t="str">
        <x:v>Medium</x:v>
      </x:c>
      <x:c r="L15" s="40" t="n">
        <x:v>30</x:v>
      </x:c>
      <x:c r="M15" s="17" t="str">
        <x:v>Y</x:v>
      </x:c>
      <x:c r="N15" s="17" t="str">
        <x:v>N</x:v>
      </x:c>
      <x:c r="O15" s="17" t="str">
        <x:v>Y</x:v>
      </x:c>
      <x:c r="P15" s="17" t="str">
        <x:v>Y</x:v>
      </x:c>
      <x:c r="Q15" s="17" t="n">
        <x:v>104</x:v>
      </x:c>
      <x:c r="R15" s="17" t="str">
        <x:v>Medium</x:v>
      </x:c>
      <x:c r="S15" s="17" t="str">
        <x:v>平板不可用</x:v>
      </x:c>
      <x:c r="T15" s="17" t="str">
        <x:v>B</x:v>
      </x:c>
      <x:c r="U15" s="17" t="str">
        <x:v>Conditional</x:v>
      </x:c>
      <x:c r="V15" s="17" t="str"/>
    </x:row>
    <x:row r="16" ht="15" hidden="0" customHeight="1">
      <x:c r="A16" s="17" t="str">
        <x:v>CN05</x:v>
      </x:c>
      <x:c r="B16" s="17" t="str">
        <x:v>CN</x:v>
      </x:c>
      <x:c r="C16" s="17" t="str">
        <x:v>三级医院心内科</x:v>
      </x:c>
      <x:c r="D16" s="17" t="n">
        <x:v>67</x:v>
      </x:c>
      <x:c r="E16" s="36" t="n">
        <x:v>0.19</x:v>
      </x:c>
      <x:c r="F16" s="36" t="n">
        <x:v>0.6</x:v>
      </x:c>
      <x:c r="G16" s="36" t="n">
        <x:v>0.54</x:v>
      </x:c>
      <x:c r="H16" s="38" t="n">
        <x:f>D16*E16</x:f>
        <x:v>12.73</x:v>
      </x:c>
      <x:c r="I16" s="38" t="n">
        <x:f>H16*F16</x:f>
        <x:v>7.638</x:v>
      </x:c>
      <x:c r="J16" s="38" t="n">
        <x:v>1.3</x:v>
      </x:c>
      <x:c r="K16" s="17" t="str">
        <x:v>High</x:v>
      </x:c>
      <x:c r="L16" s="40" t="n">
        <x:v>32</x:v>
      </x:c>
      <x:c r="M16" s="17" t="str">
        <x:v>Y</x:v>
      </x:c>
      <x:c r="N16" s="17" t="str">
        <x:v>Y</x:v>
      </x:c>
      <x:c r="O16" s="17" t="str">
        <x:v>Y</x:v>
      </x:c>
      <x:c r="P16" s="17" t="str">
        <x:v>Y</x:v>
      </x:c>
      <x:c r="Q16" s="17" t="n">
        <x:v>132</x:v>
      </x:c>
      <x:c r="R16" s="17" t="str">
        <x:v>High</x:v>
      </x:c>
      <x:c r="S16" s="17" t="str">
        <x:v>伦理排期</x:v>
      </x:c>
      <x:c r="T16" s="17" t="str">
        <x:v>B</x:v>
      </x:c>
      <x:c r="U16" s="17" t="str">
        <x:v>Select</x:v>
      </x:c>
      <x:c r="V16" s="17" t="str"/>
    </x:row>
    <x:row r="17" ht="15" hidden="0" customHeight="1">
      <x:c r="A17" s="17" t="str">
        <x:v>CN06</x:v>
      </x:c>
      <x:c r="B17" s="17" t="str">
        <x:v>CN</x:v>
      </x:c>
      <x:c r="C17" s="17" t="str">
        <x:v>三级医院血管外科</x:v>
      </x:c>
      <x:c r="D17" s="17" t="n">
        <x:v>103</x:v>
      </x:c>
      <x:c r="E17" s="36" t="n">
        <x:v>0.17</x:v>
      </x:c>
      <x:c r="F17" s="36" t="n">
        <x:v>0.57</x:v>
      </x:c>
      <x:c r="G17" s="36" t="n">
        <x:v>0.59</x:v>
      </x:c>
      <x:c r="H17" s="38" t="n">
        <x:f>D17*E17</x:f>
        <x:v>17.51</x:v>
      </x:c>
      <x:c r="I17" s="38" t="n">
        <x:f>H17*F17</x:f>
        <x:v>9.9807</x:v>
      </x:c>
      <x:c r="J17" s="38" t="n">
        <x:v>1.4</x:v>
      </x:c>
      <x:c r="K17" s="17" t="str">
        <x:v>High</x:v>
      </x:c>
      <x:c r="L17" s="40" t="n">
        <x:v>36</x:v>
      </x:c>
      <x:c r="M17" s="17" t="str">
        <x:v>Y</x:v>
      </x:c>
      <x:c r="N17" s="17" t="str">
        <x:v>Y</x:v>
      </x:c>
      <x:c r="O17" s="17" t="str">
        <x:v>Y</x:v>
      </x:c>
      <x:c r="P17" s="17" t="str">
        <x:v>Y</x:v>
      </x:c>
      <x:c r="Q17" s="17" t="n">
        <x:v>122</x:v>
      </x:c>
      <x:c r="R17" s="17" t="str">
        <x:v>High</x:v>
      </x:c>
      <x:c r="S17" s="17" t="str">
        <x:v>造影临停药流程</x:v>
      </x:c>
      <x:c r="T17" s="17" t="str">
        <x:v>A</x:v>
      </x:c>
      <x:c r="U17" s="17" t="str">
        <x:v>Select</x:v>
      </x:c>
      <x:c r="V17" s="17" t="str"/>
    </x:row>
    <x:row r="18" ht="15" hidden="0" customHeight="1">
      <x:c r="A18" s="17" t="str">
        <x:v>CN07</x:v>
      </x:c>
      <x:c r="B18" s="17" t="str">
        <x:v>CN</x:v>
      </x:c>
      <x:c r="C18" s="17" t="str">
        <x:v>区域中心医院</x:v>
      </x:c>
      <x:c r="D18" s="17" t="n">
        <x:v>48</x:v>
      </x:c>
      <x:c r="E18" s="36" t="n">
        <x:v>0.15</x:v>
      </x:c>
      <x:c r="F18" s="36" t="n">
        <x:v>0.52</x:v>
      </x:c>
      <x:c r="G18" s="36" t="n">
        <x:v>0.64</x:v>
      </x:c>
      <x:c r="H18" s="38" t="n">
        <x:f>D18*E18</x:f>
        <x:v>7.199999999999999</x:v>
      </x:c>
      <x:c r="I18" s="38" t="n">
        <x:f>H18*F18</x:f>
        <x:v>3.7439999999999998</x:v>
      </x:c>
      <x:c r="J18" s="38" t="n">
        <x:v>0.45</x:v>
      </x:c>
      <x:c r="K18" s="17" t="str">
        <x:v>Low</x:v>
      </x:c>
      <x:c r="L18" s="40" t="n">
        <x:v>24</x:v>
      </x:c>
      <x:c r="M18" s="17" t="str">
        <x:v>Y</x:v>
      </x:c>
      <x:c r="N18" s="17" t="str">
        <x:v>N</x:v>
      </x:c>
      <x:c r="O18" s="17" t="str">
        <x:v>N</x:v>
      </x:c>
      <x:c r="P18" s="17" t="str">
        <x:v>Y</x:v>
      </x:c>
      <x:c r="Q18" s="17" t="n">
        <x:v>90</x:v>
      </x:c>
      <x:c r="R18" s="17" t="str">
        <x:v>Low</x:v>
      </x:c>
      <x:c r="S18" s="17" t="str">
        <x:v>走廊/样本不合格</x:v>
      </x:c>
      <x:c r="T18" s="17" t="str">
        <x:v>D</x:v>
      </x:c>
      <x:c r="U18" s="17" t="str">
        <x:v>Do not select</x:v>
      </x:c>
      <x:c r="V18" s="17" t="str"/>
    </x:row>
    <x:row r="19" ht="15" hidden="0" customHeight="1">
      <x:c r="A19" s="17" t="str">
        <x:v>CN08</x:v>
      </x:c>
      <x:c r="B19" s="17" t="str">
        <x:v>CN</x:v>
      </x:c>
      <x:c r="C19" s="17" t="str">
        <x:v>三级医院康复科</x:v>
      </x:c>
      <x:c r="D19" s="17" t="n">
        <x:v>52</x:v>
      </x:c>
      <x:c r="E19" s="36" t="n">
        <x:v>0.25</x:v>
      </x:c>
      <x:c r="F19" s="36" t="n">
        <x:v>0.66</x:v>
      </x:c>
      <x:c r="G19" s="36" t="n">
        <x:v>0.49</x:v>
      </x:c>
      <x:c r="H19" s="38" t="n">
        <x:f>D19*E19</x:f>
        <x:v>13</x:v>
      </x:c>
      <x:c r="I19" s="38" t="n">
        <x:f>H19*F19</x:f>
        <x:v>8.58</x:v>
      </x:c>
      <x:c r="J19" s="38" t="n">
        <x:v>1.5</x:v>
      </x:c>
      <x:c r="K19" s="17" t="str">
        <x:v>High</x:v>
      </x:c>
      <x:c r="L19" s="40" t="n">
        <x:v>42</x:v>
      </x:c>
      <x:c r="M19" s="17" t="str">
        <x:v>Y</x:v>
      </x:c>
      <x:c r="N19" s="17" t="str">
        <x:v>Y</x:v>
      </x:c>
      <x:c r="O19" s="17" t="str">
        <x:v>Y</x:v>
      </x:c>
      <x:c r="P19" s="17" t="str">
        <x:v>Y</x:v>
      </x:c>
      <x:c r="Q19" s="17" t="n">
        <x:v>114</x:v>
      </x:c>
      <x:c r="R19" s="17" t="str">
        <x:v>High</x:v>
      </x:c>
      <x:c r="S19" s="17" t="str">
        <x:v>运动污染</x:v>
      </x:c>
      <x:c r="T19" s="17" t="str">
        <x:v>A</x:v>
      </x:c>
      <x:c r="U19" s="17" t="str">
        <x:v>Select</x:v>
      </x:c>
      <x:c r="V19" s="17" t="str"/>
    </x:row>
    <x:row r="20" ht="15" hidden="0" customHeight="1">
      <x:c r="A20" s="17" t="str">
        <x:v>CN09</x:v>
      </x:c>
      <x:c r="B20" s="17" t="str">
        <x:v>CN</x:v>
      </x:c>
      <x:c r="C20" s="17" t="str">
        <x:v>三级医院内分泌科</x:v>
      </x:c>
      <x:c r="D20" s="17" t="n">
        <x:v>45</x:v>
      </x:c>
      <x:c r="E20" s="36" t="n">
        <x:v>0.13</x:v>
      </x:c>
      <x:c r="F20" s="36" t="n">
        <x:v>0.56</x:v>
      </x:c>
      <x:c r="G20" s="36" t="n">
        <x:v>0.67</x:v>
      </x:c>
      <x:c r="H20" s="38" t="n">
        <x:f>D20*E20</x:f>
        <x:v>5.8500000000000005</x:v>
      </x:c>
      <x:c r="I20" s="38" t="n">
        <x:f>H20*F20</x:f>
        <x:v>3.2760000000000007</x:v>
      </x:c>
      <x:c r="J20" s="38" t="n">
        <x:v>0.4</x:v>
      </x:c>
      <x:c r="K20" s="17" t="str">
        <x:v>Medium</x:v>
      </x:c>
      <x:c r="L20" s="40" t="n">
        <x:v>30</x:v>
      </x:c>
      <x:c r="M20" s="17" t="str">
        <x:v>Y</x:v>
      </x:c>
      <x:c r="N20" s="17" t="str">
        <x:v>N</x:v>
      </x:c>
      <x:c r="O20" s="17" t="str">
        <x:v>Y</x:v>
      </x:c>
      <x:c r="P20" s="17" t="str">
        <x:v>Y</x:v>
      </x:c>
      <x:c r="Q20" s="17" t="n">
        <x:v>98</x:v>
      </x:c>
      <x:c r="R20" s="17" t="str">
        <x:v>High</x:v>
      </x:c>
      <x:c r="S20" s="17" t="str">
        <x:v>患者来源有限</x:v>
      </x:c>
      <x:c r="T20" s="17" t="str">
        <x:v>C</x:v>
      </x:c>
      <x:c r="U20" s="17" t="str">
        <x:v>Conditional</x:v>
      </x:c>
      <x:c r="V20" s="17" t="str"/>
    </x:row>
    <x:row r="21" ht="15" hidden="0" customHeight="1">
      <x:c r="A21" s="17" t="str">
        <x:v>CN10</x:v>
      </x:c>
      <x:c r="B21" s="17" t="str">
        <x:v>CN</x:v>
      </x:c>
      <x:c r="C21" s="17" t="str">
        <x:v>综合医院心内科</x:v>
      </x:c>
      <x:c r="D21" s="17" t="n">
        <x:v>71</x:v>
      </x:c>
      <x:c r="E21" s="36" t="n">
        <x:v>0.18</x:v>
      </x:c>
      <x:c r="F21" s="36" t="n">
        <x:v>0.61</x:v>
      </x:c>
      <x:c r="G21" s="36" t="n">
        <x:v>0.57</x:v>
      </x:c>
      <x:c r="H21" s="38" t="n">
        <x:f>D21*E21</x:f>
        <x:v>12.78</x:v>
      </x:c>
      <x:c r="I21" s="38" t="n">
        <x:f>H21*F21</x:f>
        <x:v>7.7958</x:v>
      </x:c>
      <x:c r="J21" s="38" t="n">
        <x:v>1.2</x:v>
      </x:c>
      <x:c r="K21" s="17" t="str">
        <x:v>High</x:v>
      </x:c>
      <x:c r="L21" s="40" t="n">
        <x:v>35</x:v>
      </x:c>
      <x:c r="M21" s="17" t="str">
        <x:v>Y</x:v>
      </x:c>
      <x:c r="N21" s="17" t="str">
        <x:v>Y</x:v>
      </x:c>
      <x:c r="O21" s="17" t="str">
        <x:v>Y</x:v>
      </x:c>
      <x:c r="P21" s="17" t="str">
        <x:v>Y</x:v>
      </x:c>
      <x:c r="Q21" s="17" t="n">
        <x:v>108</x:v>
      </x:c>
      <x:c r="R21" s="17" t="str">
        <x:v>High</x:v>
      </x:c>
      <x:c r="S21" s="17" t="str">
        <x:v>ABI校准</x:v>
      </x:c>
      <x:c r="T21" s="17" t="str">
        <x:v>B</x:v>
      </x:c>
      <x:c r="U21" s="17" t="str">
        <x:v>Select</x:v>
      </x:c>
      <x:c r="V21" s="17" t="str"/>
    </x:row>
    <x:row r="22" ht="15" hidden="0" customHeight="1">
      <x:c r="A22" s="17" t="str">
        <x:v>CN11</x:v>
      </x:c>
      <x:c r="B22" s="17" t="str">
        <x:v>CN</x:v>
      </x:c>
      <x:c r="C22" s="17" t="str">
        <x:v>三级医院血管外科</x:v>
      </x:c>
      <x:c r="D22" s="17" t="n">
        <x:v>82</x:v>
      </x:c>
      <x:c r="E22" s="36" t="n">
        <x:v>0.21</x:v>
      </x:c>
      <x:c r="F22" s="36" t="n">
        <x:v>0.63</x:v>
      </x:c>
      <x:c r="G22" s="36" t="n">
        <x:v>0.53</x:v>
      </x:c>
      <x:c r="H22" s="38" t="n">
        <x:f>D22*E22</x:f>
        <x:v>17.22</x:v>
      </x:c>
      <x:c r="I22" s="38" t="n">
        <x:f>H22*F22</x:f>
        <x:v>10.8486</x:v>
      </x:c>
      <x:c r="J22" s="38" t="n">
        <x:v>1.65</x:v>
      </x:c>
      <x:c r="K22" s="17" t="str">
        <x:v>High</x:v>
      </x:c>
      <x:c r="L22" s="40" t="n">
        <x:v>38</x:v>
      </x:c>
      <x:c r="M22" s="17" t="str">
        <x:v>Y</x:v>
      </x:c>
      <x:c r="N22" s="17" t="str">
        <x:v>Y</x:v>
      </x:c>
      <x:c r="O22" s="17" t="str">
        <x:v>Y</x:v>
      </x:c>
      <x:c r="P22" s="17" t="str">
        <x:v>Y</x:v>
      </x:c>
      <x:c r="Q22" s="17" t="n">
        <x:v>116</x:v>
      </x:c>
      <x:c r="R22" s="17" t="str">
        <x:v>High</x:v>
      </x:c>
      <x:c r="S22" s="17" t="str">
        <x:v>无</x:v>
      </x:c>
      <x:c r="T22" s="17" t="str">
        <x:v>A</x:v>
      </x:c>
      <x:c r="U22" s="17" t="str">
        <x:v>Select</x:v>
      </x:c>
      <x:c r="V22" s="17" t="str"/>
    </x:row>
    <x:row r="23" ht="15" hidden="0" customHeight="1">
      <x:c r="A23" s="17" t="str">
        <x:v>CN12</x:v>
      </x:c>
      <x:c r="B23" s="17" t="str">
        <x:v>CN</x:v>
      </x:c>
      <x:c r="C23" s="17" t="str">
        <x:v>区域中心医院</x:v>
      </x:c>
      <x:c r="D23" s="17" t="n">
        <x:v>54</x:v>
      </x:c>
      <x:c r="E23" s="36" t="n">
        <x:v>0.16</x:v>
      </x:c>
      <x:c r="F23" s="36" t="n">
        <x:v>0.5</x:v>
      </x:c>
      <x:c r="G23" s="36" t="n">
        <x:v>0.66</x:v>
      </x:c>
      <x:c r="H23" s="38" t="n">
        <x:f>D23*E23</x:f>
        <x:v>8.64</x:v>
      </x:c>
      <x:c r="I23" s="38" t="n">
        <x:f>H23*F23</x:f>
        <x:v>4.32</x:v>
      </x:c>
      <x:c r="J23" s="38" t="n">
        <x:v>0.5</x:v>
      </x:c>
      <x:c r="K23" s="17" t="str">
        <x:v>Medium</x:v>
      </x:c>
      <x:c r="L23" s="40" t="n">
        <x:v>29</x:v>
      </x:c>
      <x:c r="M23" s="17" t="str">
        <x:v>Y</x:v>
      </x:c>
      <x:c r="N23" s="17" t="str">
        <x:v>Y</x:v>
      </x:c>
      <x:c r="O23" s="17" t="str">
        <x:v>Y</x:v>
      </x:c>
      <x:c r="P23" s="17" t="str">
        <x:v>Y</x:v>
      </x:c>
      <x:c r="Q23" s="17" t="n">
        <x:v>145</x:v>
      </x:c>
      <x:c r="R23" s="17" t="str">
        <x:v>Medium</x:v>
      </x:c>
      <x:c r="S23" s="17" t="str">
        <x:v>走廊不足/启动慢</x:v>
      </x:c>
      <x:c r="T23" s="17" t="str">
        <x:v>C</x:v>
      </x:c>
      <x:c r="U23" s="17" t="str">
        <x:v>Conditional</x:v>
      </x:c>
      <x:c r="V23" s="17" t="str"/>
    </x:row>
    <x:row r="24"/>
  </x:sheetData>
  <x:mergeCells>
    <x:mergeCell ref="A1:V1"/>
  </x:mergeCells>
  <x:conditionalFormatting sqref="L4:L23">
    <x:cfRule type="cellIs" dxfId="2" priority="1" operator="lessThan">
      <x:formula>30</x:formula>
    </x:cfRule>
  </x:conditionalFormatting>
  <x:conditionalFormatting sqref="U4:U23">
    <x:cfRule type="expression" dxfId="3" priority="2">
      <x:formula>U4="Select"</x:formula>
    </x:cfRule>
    <x:cfRule type="expression" dxfId="4" priority="3">
      <x:formula>U4="Do not select"</x:formula>
    </x:cfRule>
  </x:conditionalFormatting>
  <x:dataValidations count="6">
    <x:dataValidation type="list" sqref="M4:M23">
      <x:formula1>"Y,N"</x:formula1>
    </x:dataValidation>
    <x:dataValidation type="list" sqref="N4:N23">
      <x:formula1>"Y,N"</x:formula1>
    </x:dataValidation>
    <x:dataValidation type="list" sqref="O4:O23">
      <x:formula1>"Y,N"</x:formula1>
    </x:dataValidation>
    <x:dataValidation type="list" sqref="P4:P23">
      <x:formula1>"Y,N"</x:formula1>
    </x:dataValidation>
    <x:dataValidation type="list" sqref="T4:T23">
      <x:formula1>"A,B,C,D"</x:formula1>
    </x:dataValidation>
    <x:dataValidation type="list" sqref="U4:U23">
      <x:formula1>"Select,Conditional,Do not select"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28" hidden="0" customWidth="1"/>
    <x:col min="5" max="5" width="14" hidden="0" customWidth="1"/>
    <x:col min="6" max="6" width="32" hidden="0" customWidth="1"/>
    <x:col min="7" max="7" width="42" hidden="0" customWidth="1"/>
    <x:col min="8" max="8" width="40" hidden="0" customWidth="1"/>
    <x:col min="9" max="9" width="20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19.200000762939453" hidden="0" customHeight="1">
      <x:c r="A1" s="5" t="str">
        <x:v>临床运营关键风险与缓解措施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/>
    <x:row r="3" ht="15" hidden="0" customHeight="1">
      <x:c r="A3" s="26" t="str">
        <x:v>Risk_ID</x:v>
      </x:c>
      <x:c r="B3" s="26" t="str">
        <x:v>风险域</x:v>
      </x:c>
      <x:c r="C3" s="26" t="str">
        <x:v>风险描述</x:v>
      </x:c>
      <x:c r="D3" s="26" t="str">
        <x:v>触发信号/KRI</x:v>
      </x:c>
      <x:c r="E3" s="26" t="str">
        <x:v>阈值</x:v>
      </x:c>
      <x:c r="F3" s="26" t="str">
        <x:v>潜在影响</x:v>
      </x:c>
      <x:c r="G3" s="26" t="str">
        <x:v>预防措施</x:v>
      </x:c>
      <x:c r="H3" s="26" t="str">
        <x:v>应急措施</x:v>
      </x:c>
      <x:c r="I3" s="26" t="str">
        <x:v>责任人</x:v>
      </x:c>
      <x:c r="J3" s="26" t="str">
        <x:v>频率</x:v>
      </x:c>
      <x:c r="K3" s="26" t="str">
        <x:v>状态</x:v>
      </x:c>
      <x:c r="L3" s="26" t="str">
        <x:v>关联章节</x:v>
      </x:c>
    </x:row>
    <x:row r="4" ht="15" hidden="0" customHeight="1">
      <x:c r="A4" s="17" t="str">
        <x:v>OR-001</x:v>
      </x:c>
      <x:c r="B4" s="17" t="str">
        <x:v>招募</x:v>
      </x:c>
      <x:c r="C4" s="17" t="str">
        <x:v>标准过窄导致随机化不足</x:v>
      </x:c>
      <x:c r="D4" s="17" t="str">
        <x:v>滚动3个月每中心随机数</x:v>
      </x:c>
      <x:c r="E4" s="17" t="str">
        <x:v>&lt;0.5/月</x:v>
      </x:c>
      <x:c r="F4" s="17" t="str">
        <x:v>延期/选择偏倚</x:v>
      </x:c>
      <x:c r="G4" s="17" t="str">
        <x:v>预筛、转诊、简化非关键排除</x:v>
      </x:c>
      <x:c r="H4" s="17" t="str">
        <x:v>增中心并复评标准</x:v>
      </x:c>
      <x:c r="I4" s="17" t="str">
        <x:v>运营</x:v>
      </x:c>
      <x:c r="J4" s="17" t="str">
        <x:v>每月</x:v>
      </x:c>
      <x:c r="K4" s="17" t="str">
        <x:v>开放</x:v>
      </x:c>
      <x:c r="L4" s="17" t="str">
        <x:v>Population</x:v>
      </x:c>
    </x:row>
    <x:row r="5" ht="15" hidden="0" customHeight="1">
      <x:c r="A5" s="17" t="str">
        <x:v>OR-002</x:v>
      </x:c>
      <x:c r="B5" s="17" t="str">
        <x:v>终点</x:v>
      </x:c>
      <x:c r="C5" s="17" t="str">
        <x:v>6MWT场地/指令不一致</x:v>
      </x:c>
      <x:c r="D5" s="17" t="str">
        <x:v>认证失败或偏差率</x:v>
      </x:c>
      <x:c r="E5" s="17" t="str">
        <x:v>&gt;5%</x:v>
      </x:c>
      <x:c r="F5" s="17" t="str">
        <x:v>变异增加</x:v>
      </x:c>
      <x:c r="G5" s="17" t="str">
        <x:v>认证、脚本、盲态培训、抽查</x:v>
      </x:c>
      <x:c r="H5" s="17" t="str">
        <x:v>暂停入组/再培训/敏感性</x:v>
      </x:c>
      <x:c r="I5" s="17" t="str">
        <x:v>医学/质量</x:v>
      </x:c>
      <x:c r="J5" s="17" t="str">
        <x:v>持续</x:v>
      </x:c>
      <x:c r="K5" s="17" t="str">
        <x:v>开放</x:v>
      </x:c>
      <x:c r="L5" s="17" t="str">
        <x:v>Endpoints/Quality</x:v>
      </x:c>
    </x:row>
    <x:row r="6" ht="15" hidden="0" customHeight="1">
      <x:c r="A6" s="17" t="str">
        <x:v>OR-003</x:v>
      </x:c>
      <x:c r="B6" s="17" t="str">
        <x:v>运动混杂</x:v>
      </x:c>
      <x:c r="C6" s="17" t="str">
        <x:v>参加非方案运动</x:v>
      </x:c>
      <x:c r="D6" s="17" t="str">
        <x:v>外部运动暴露</x:v>
      </x:c>
      <x:c r="E6" s="17" t="str">
        <x:v>&gt;15%</x:v>
      </x:c>
      <x:c r="F6" s="17" t="str">
        <x:v>效应偏倚</x:v>
      </x:c>
      <x:c r="G6" s="17" t="str">
        <x:v>统一建议、活动日志</x:v>
      </x:c>
      <x:c r="H6" s="17" t="str">
        <x:v>协变量/敏感性</x:v>
      </x:c>
      <x:c r="I6" s="17" t="str">
        <x:v>医学/统计</x:v>
      </x:c>
      <x:c r="J6" s="17" t="str">
        <x:v>每访视</x:v>
      </x:c>
      <x:c r="K6" s="17" t="str">
        <x:v>开放</x:v>
      </x:c>
      <x:c r="L6" s="17" t="str">
        <x:v>Concomitant</x:v>
      </x:c>
    </x:row>
    <x:row r="7" ht="15" hidden="0" customHeight="1">
      <x:c r="A7" s="17" t="str">
        <x:v>OR-004</x:v>
      </x:c>
      <x:c r="B7" s="17" t="str">
        <x:v>依从性</x:v>
      </x:c>
      <x:c r="C7" s="17" t="str">
        <x:v>GI不耐受导致停药</x:v>
      </x:c>
      <x:c r="D7" s="17" t="str">
        <x:v>未达目标剂量</x:v>
      </x:c>
      <x:c r="E7" s="17" t="str">
        <x:v>&gt;25%</x:v>
      </x:c>
      <x:c r="F7" s="17" t="str">
        <x:v>暴露下降</x:v>
      </x:c>
      <x:c r="G7" s="17" t="str">
        <x:v>缓慢递增、餐后、回退</x:v>
      </x:c>
      <x:c r="H7" s="17" t="str">
        <x:v>延长递增/耐受剂量</x:v>
      </x:c>
      <x:c r="I7" s="17" t="str">
        <x:v>医学/安全</x:v>
      </x:c>
      <x:c r="J7" s="17" t="str">
        <x:v>每访视</x:v>
      </x:c>
      <x:c r="K7" s="17" t="str">
        <x:v>开放</x:v>
      </x:c>
      <x:c r="L7" s="17" t="str">
        <x:v>Intervention</x:v>
      </x:c>
    </x:row>
    <x:row r="8" ht="15" hidden="0" customHeight="1">
      <x:c r="A8" s="17" t="str">
        <x:v>OR-005</x:v>
      </x:c>
      <x:c r="B8" s="17" t="str">
        <x:v>肾安全</x:v>
      </x:c>
      <x:c r="C8" s="17" t="str">
        <x:v>eGFR/造影/手术/缺氧未触发停药</x:v>
      </x:c>
      <x:c r="D8" s="17" t="str">
        <x:v>未闭环事件</x:v>
      </x:c>
      <x:c r="E8" s="17" t="str">
        <x:v>&gt;0</x:v>
      </x:c>
      <x:c r="F8" s="17" t="str">
        <x:v>严重风险</x:v>
      </x:c>
      <x:c r="G8" s="17" t="str">
        <x:v>电子提醒、24h医学支持</x:v>
      </x:c>
      <x:c r="H8" s="17" t="str">
        <x:v>立即停药/SAE流程</x:v>
      </x:c>
      <x:c r="I8" s="17" t="str">
        <x:v>安全/运营</x:v>
      </x:c>
      <x:c r="J8" s="17" t="str">
        <x:v>实时</x:v>
      </x:c>
      <x:c r="K8" s="17" t="str">
        <x:v>开放</x:v>
      </x:c>
      <x:c r="L8" s="17" t="str">
        <x:v>Safety</x:v>
      </x:c>
    </x:row>
    <x:row r="9" ht="15" hidden="0" customHeight="1">
      <x:c r="A9" s="17" t="str">
        <x:v>OR-006</x:v>
      </x:c>
      <x:c r="B9" s="17" t="str">
        <x:v>盲法</x:v>
      </x:c>
      <x:c r="C9" s="17" t="str">
        <x:v>GI AE提示分组</x:v>
      </x:c>
      <x:c r="D9" s="17" t="str">
        <x:v>猜组/揭盲异常</x:v>
      </x:c>
      <x:c r="E9" s="17" t="str">
        <x:v>异常</x:v>
      </x:c>
      <x:c r="F9" s="17" t="str">
        <x:v>性能偏倚</x:v>
      </x:c>
      <x:c r="G9" s="17" t="str">
        <x:v>匹配安慰剂、盲态评估</x:v>
      </x:c>
      <x:c r="H9" s="17" t="str">
        <x:v>独立评估/敏感性</x:v>
      </x:c>
      <x:c r="I9" s="17" t="str">
        <x:v>质量/统计</x:v>
      </x:c>
      <x:c r="J9" s="17" t="str">
        <x:v>季度</x:v>
      </x:c>
      <x:c r="K9" s="17" t="str">
        <x:v>开放</x:v>
      </x:c>
      <x:c r="L9" s="17" t="str">
        <x:v>Blinding</x:v>
      </x:c>
    </x:row>
    <x:row r="10" ht="15" hidden="0" customHeight="1">
      <x:c r="A10" s="17" t="str">
        <x:v>OR-007</x:v>
      </x:c>
      <x:c r="B10" s="17" t="str">
        <x:v>中国执行</x:v>
      </x:c>
      <x:c r="C10" s="17" t="str">
        <x:v>背景治疗差异</x:v>
      </x:c>
      <x:c r="D10" s="17" t="str">
        <x:v>治疗变更率</x:v>
      </x:c>
      <x:c r="E10" s="17" t="str">
        <x:v>&gt;20%</x:v>
      </x:c>
      <x:c r="F10" s="17" t="str">
        <x:v>区域异质性</x:v>
      </x:c>
      <x:c r="G10" s="17" t="str">
        <x:v>最低标准和培训</x:v>
      </x:c>
      <x:c r="H10" s="17" t="str">
        <x:v>分层/区域敏感性</x:v>
      </x:c>
      <x:c r="I10" s="17" t="str">
        <x:v>医学/注册</x:v>
      </x:c>
      <x:c r="J10" s="17" t="str">
        <x:v>季度</x:v>
      </x:c>
      <x:c r="K10" s="17" t="str">
        <x:v>开放</x:v>
      </x:c>
      <x:c r="L10" s="17" t="str">
        <x:v>Background</x:v>
      </x:c>
    </x:row>
    <x:row r="11" ht="15" hidden="0" customHeight="1">
      <x:c r="A11" s="17" t="str">
        <x:v>OR-008</x:v>
      </x:c>
      <x:c r="B11" s="17" t="str">
        <x:v>样本处理</x:v>
      </x:c>
      <x:c r="C11" s="17" t="str">
        <x:v>探索样本处理不一</x:v>
      </x:c>
      <x:c r="D11" s="17" t="str">
        <x:v>温度/时间偏差</x:v>
      </x:c>
      <x:c r="E11" s="17" t="str">
        <x:v>&gt;5%</x:v>
      </x:c>
      <x:c r="F11" s="17" t="str">
        <x:v>数据不可用</x:v>
      </x:c>
      <x:c r="G11" s="17" t="str">
        <x:v>手册/物流验证</x:v>
      </x:c>
      <x:c r="H11" s="17" t="str">
        <x:v>排除样本/增加QC</x:v>
      </x:c>
      <x:c r="I11" s="17" t="str">
        <x:v>实验室</x:v>
      </x:c>
      <x:c r="J11" s="17" t="str">
        <x:v>每批</x:v>
      </x:c>
      <x:c r="K11" s="17" t="str">
        <x:v>开放</x:v>
      </x:c>
      <x:c r="L11" s="17" t="str">
        <x:v>Biospecimens</x:v>
      </x:c>
    </x:row>
    <x:row r="12"/>
  </x:sheetData>
  <x:mergeCells>
    <x:mergeCell ref="A1:L1"/>
  </x:mergeCells>
  <x:dataValidations count="1">
    <x:dataValidation type="list" sqref="K4:K11">
      <x:formula1>"开放,监测中,已缓解,已关闭"</x:formula1>
    </x:dataValidation>
  </x:dataValidations>
  <x:pageMargins left="0.7" right="0.7" top="0.75" bottom="0.75" header="0.3" footer="0.3"/>
</x:worksheet>
</file>