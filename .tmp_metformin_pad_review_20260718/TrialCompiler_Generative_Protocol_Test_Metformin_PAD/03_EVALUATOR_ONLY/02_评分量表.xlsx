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f98e766c04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_Summary" sheetId="1" r:id="R6bb8572c7cd74920"/>
    <x:sheet xmlns:r="http://schemas.openxmlformats.org/officeDocument/2006/relationships" name="Rubric" sheetId="2" r:id="Rc246d6dcaee84c14"/>
    <x:sheet xmlns:r="http://schemas.openxmlformats.org/officeDocument/2006/relationships" name="Hard_Fails" sheetId="3" r:id="R8641454098ed4cae"/>
    <x:sheet xmlns:r="http://schemas.openxmlformats.org/officeDocument/2006/relationships" name="Fact_Check" sheetId="4" r:id="R26a35c07db074889"/>
    <x:sheet xmlns:r="http://schemas.openxmlformats.org/officeDocument/2006/relationships" name="Model_Run_Log" sheetId="5" r:id="R61163d4f62d7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yyyy-mm-dd hh:mm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70ff38d04a42f6" /><Relationship Type="http://schemas.openxmlformats.org/officeDocument/2006/relationships/theme" Target="/xl/theme/theme1.xml" Id="Re64d79ba19f24e1f" /><Relationship Type="http://schemas.openxmlformats.org/officeDocument/2006/relationships/sharedStrings" Target="/xl/sharedStrings.xml" Id="Ree7d518b585e402c" /><Relationship Type="http://schemas.openxmlformats.org/officeDocument/2006/relationships/worksheet" Target="/xl/worksheets/sheet1.xml" Id="R6bb8572c7cd74920" /><Relationship Type="http://schemas.openxmlformats.org/officeDocument/2006/relationships/worksheet" Target="/xl/worksheets/sheet2.xml" Id="Rc246d6dcaee84c14" /><Relationship Type="http://schemas.openxmlformats.org/officeDocument/2006/relationships/worksheet" Target="/xl/worksheets/sheet3.xml" Id="R8641454098ed4cae" /><Relationship Type="http://schemas.openxmlformats.org/officeDocument/2006/relationships/worksheet" Target="/xl/worksheets/sheet4.xml" Id="R26a35c07db074889" /><Relationship Type="http://schemas.openxmlformats.org/officeDocument/2006/relationships/worksheet" Target="/xl/worksheets/sheet5.xml" Id="R61163d4f62d749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4" hidden="0" customWidth="1"/>
    <x:col min="4" max="4" width="18" hidden="0" customWidth="1"/>
    <x:col min="5" max="5" width="16" hidden="0" customWidth="1"/>
    <x:col min="6" max="6" width="4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19.200000762939453" hidden="0" customHeight="1">
      <x:c r="A1" s="5" t="str">
        <x:v>生成型 Protocol 测试：评分汇总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/>
    <x:row r="3" ht="15" hidden="0" customHeight="1">
      <x:c r="A3" s="12" t="str">
        <x:v>Run_ID</x:v>
      </x:c>
      <x:c r="B3" s="17" t="str"/>
      <x:c r="D3" s="12" t="str">
        <x:v>评分解释</x:v>
      </x:c>
      <x:c r="E3" s="12"/>
      <x:c r="F3" s="12"/>
      <x:c r="G3" s="12"/>
      <x:c r="H3" s="12"/>
      <x:c r="I3" s="12"/>
      <x:c r="J3" s="12"/>
      <x:c r="K3" s="12"/>
      <x:c r="L3" s="12"/>
    </x:row>
    <x:row r="4" ht="15" hidden="0" customHeight="1">
      <x:c r="A4" s="12" t="str">
        <x:v>模型/版本</x:v>
      </x:c>
      <x:c r="B4" s="17" t="str"/>
      <x:c r="D4" s="28" t="str">
        <x:v>范围</x:v>
      </x:c>
      <x:c r="E4" s="28" t="str">
        <x:v>等级</x:v>
      </x:c>
      <x:c r="F4" s="28" t="str">
        <x:v>解释</x:v>
      </x:c>
    </x:row>
    <x:row r="5" ht="15" hidden="0" customHeight="1">
      <x:c r="A5" s="12" t="str">
        <x:v>运行日期</x:v>
      </x:c>
      <x:c r="B5" s="20" t="n">
        <x:v>46220.66975241898</x:v>
      </x:c>
      <x:c r="D5" s="17" t="str">
        <x:v>&gt;=85</x:v>
      </x:c>
      <x:c r="E5" s="17" t="str">
        <x:v>A</x:v>
      </x:c>
      <x:c r="F5" s="17" t="str">
        <x:v>可进入专家修订</x:v>
      </x:c>
    </x:row>
    <x:row r="6" ht="15" hidden="0" customHeight="1">
      <x:c r="A6" s="12" t="str">
        <x:v>评估者</x:v>
      </x:c>
      <x:c r="B6" s="17" t="str"/>
      <x:c r="D6" s="17" t="str">
        <x:v>70–84.9</x:v>
      </x:c>
      <x:c r="E6" s="17" t="str">
        <x:v>B</x:v>
      </x:c>
      <x:c r="F6" s="17" t="str">
        <x:v>有可用骨架，存在实质缺口</x:v>
      </x:c>
    </x:row>
    <x:row r="7" ht="15" hidden="0" customHeight="1">
      <x:c r="A7" s="12" t="str">
        <x:v>科学截止日</x:v>
      </x:c>
      <x:c r="B7" s="17" t="str">
        <x:v>2021-11-11</x:v>
      </x:c>
      <x:c r="D7" s="17" t="str">
        <x:v>50–69.9</x:v>
      </x:c>
      <x:c r="E7" s="17" t="str">
        <x:v>C</x:v>
      </x:c>
      <x:c r="F7" s="17" t="str">
        <x:v>需较大重构</x:v>
      </x:c>
    </x:row>
    <x:row r="8" ht="15" hidden="0" customHeight="1">
      <x:c r="A8" s="12" t="str">
        <x:v>完成Phase 2修订</x:v>
      </x:c>
      <x:c r="B8" s="17" t="str">
        <x:v>No</x:v>
      </x:c>
      <x:c r="D8" s="17" t="str">
        <x:v>&lt;50</x:v>
      </x:c>
      <x:c r="E8" s="17" t="str">
        <x:v>D</x:v>
      </x:c>
      <x:c r="F8" s="17" t="str">
        <x:v>核心设计不可接受</x:v>
      </x:c>
    </x:row>
    <x:row r="9" ht="15" hidden="0" customHeight="1">
      <x:c r="A9" s="12" t="str">
        <x:v>原始加权分</x:v>
      </x:c>
      <x:c r="B9" s="22" t="n">
        <x:f>SUM(Rubric!J4:J17)</x:f>
        <x:v>0</x:v>
      </x:c>
      <x:c r="D9" s="17" t="str">
        <x:v>致命硬失败</x:v>
      </x:c>
      <x:c r="E9" s="17" t="str">
        <x:v>Gate fail</x:v>
      </x:c>
      <x:c r="F9" s="17" t="str">
        <x:v>阻断并人工复核</x:v>
      </x:c>
    </x:row>
    <x:row r="10" ht="15" hidden="0" customHeight="1">
      <x:c r="A10" s="12" t="str">
        <x:v>硬失败扣分</x:v>
      </x:c>
      <x:c r="B10" s="22" t="n">
        <x:f>SUM(Hard_Fails!G4:G15)</x:f>
        <x:v>0</x:v>
      </x:c>
    </x:row>
    <x:row r="11" ht="15" hidden="0" customHeight="1">
      <x:c r="A11" s="12" t="str">
        <x:v>最终分</x:v>
      </x:c>
      <x:c r="B11" s="22" t="n">
        <x:f>MAX(0,B9-B10)</x:f>
        <x:v>0</x:v>
      </x:c>
    </x:row>
    <x:row r="12"/>
    <x:row r="13" ht="52.79999923706055" hidden="0" customHeight="1">
      <x:c r="A13" s="36" t="str">
        <x:v>真实方案是参照而非唯一答案；不同但证据充分、内部一致、可注册且可运营的设计可获得高分。</x:v>
      </x:c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</x:row>
    <x:row r="14"/>
  </x:sheetData>
  <x:mergeCells>
    <x:mergeCell ref="A1:L1"/>
    <x:mergeCell ref="D3:L3"/>
    <x:mergeCell ref="A13:L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0" hidden="0" customWidth="1"/>
    <x:col min="4" max="4" width="34" hidden="0" customWidth="1"/>
    <x:col min="5" max="5" width="36" hidden="0" customWidth="1"/>
    <x:col min="6" max="6" width="42" hidden="0" customWidth="1"/>
    <x:col min="7" max="7" width="28" hidden="0" customWidth="1"/>
    <x:col min="8" max="8" width="12" hidden="0" customWidth="1"/>
    <x:col min="9" max="9" width="40" hidden="0" customWidth="1"/>
    <x:col min="10" max="10" width="14" hidden="0" customWidth="1"/>
    <x:col min="11" max="11" width="12" hidden="0" customWidth="1"/>
    <x:col min="12" max="12" width="20" hidden="0" customWidth="1"/>
  </x:cols>
  <x:sheetData>
    <x:row r="1" ht="19.200000762939453" hidden="0" customHeight="1">
      <x:c r="A1" s="5" t="str">
        <x:v>评分量表（0–4分后按权重归一为100分）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/>
    <x:row r="3" ht="15" hidden="0" customHeight="1">
      <x:c r="A3" s="28" t="str">
        <x:v>ID</x:v>
      </x:c>
      <x:c r="B3" s="28" t="str">
        <x:v>维度</x:v>
      </x:c>
      <x:c r="C3" s="28" t="str">
        <x:v>权重</x:v>
      </x:c>
      <x:c r="D3" s="28" t="str">
        <x:v>0分锚点</x:v>
      </x:c>
      <x:c r="E3" s="28" t="str">
        <x:v>2分锚点</x:v>
      </x:c>
      <x:c r="F3" s="28" t="str">
        <x:v>4分锚点</x:v>
      </x:c>
      <x:c r="G3" s="28" t="str">
        <x:v>证据位置</x:v>
      </x:c>
      <x:c r="H3" s="28" t="str">
        <x:v>评分</x:v>
      </x:c>
      <x:c r="I3" s="28" t="str">
        <x:v>评语</x:v>
      </x:c>
      <x:c r="J3" s="28" t="str">
        <x:v>加权分</x:v>
      </x:c>
      <x:c r="K3" s="28" t="str">
        <x:v>复核</x:v>
      </x:c>
      <x:c r="L3" s="28" t="str">
        <x:v>评估者</x:v>
      </x:c>
    </x:row>
    <x:row r="4" ht="15" hidden="0" customHeight="1">
      <x:c r="A4" s="17" t="str">
        <x:v>R01</x:v>
      </x:c>
      <x:c r="B4" s="17" t="str">
        <x:v>科学依据与获益风险</x:v>
      </x:c>
      <x:c r="C4" s="17" t="n">
        <x:v>8</x:v>
      </x:c>
      <x:c r="D4" s="17" t="str">
        <x:v>无依据/夸大疗效</x:v>
      </x:c>
      <x:c r="E4" s="17" t="str">
        <x:v>基本依据但外推边界不清</x:v>
      </x:c>
      <x:c r="F4" s="17" t="str">
        <x:v>证据层级、缺口和风险平衡清楚</x:v>
      </x:c>
      <x:c r="G4" s="17" t="str"/>
      <x:c r="H4" s="17" t="str"/>
      <x:c r="I4" s="17" t="str"/>
      <x:c r="J4" s="22" t="n">
        <x:f>IFERROR(C4*H4/4*100/SUM($C$4:$C$17),0)</x:f>
        <x:v>0</x:v>
      </x:c>
      <x:c r="K4" s="17" t="str">
        <x:v>No</x:v>
      </x:c>
      <x:c r="L4" s="17" t="str">
        <x:v>医学</x:v>
      </x:c>
    </x:row>
    <x:row r="5" ht="15" hidden="0" customHeight="1">
      <x:c r="A5" s="17" t="str">
        <x:v>R02</x:v>
      </x:c>
      <x:c r="B5" s="17" t="str">
        <x:v>开发定位与TPP</x:v>
      </x:c>
      <x:c r="C5" s="17" t="n">
        <x:v>5</x:v>
      </x:c>
      <x:c r="D5" s="17" t="str">
        <x:v>阶段/标签主张缺失</x:v>
      </x:c>
      <x:c r="E5" s="17" t="str">
        <x:v>有定位但不完全匹配证据</x:v>
      </x:c>
      <x:c r="F5" s="17" t="str">
        <x:v>说明在FDA/NMPA开发中的作用</x:v>
      </x:c>
      <x:c r="G5" s="17" t="str"/>
      <x:c r="H5" s="17" t="str"/>
      <x:c r="I5" s="17" t="str"/>
      <x:c r="J5" s="22" t="n">
        <x:f>IFERROR(C5*H5/4*100/SUM($C$4:$C$17),0)</x:f>
        <x:v>0</x:v>
      </x:c>
      <x:c r="K5" s="17" t="str">
        <x:v>No</x:v>
      </x:c>
      <x:c r="L5" s="17" t="str">
        <x:v>医学/注册</x:v>
      </x:c>
    </x:row>
    <x:row r="6" ht="15" hidden="0" customHeight="1">
      <x:c r="A6" s="17" t="str">
        <x:v>R03</x:v>
      </x:c>
      <x:c r="B6" s="17" t="str">
        <x:v>人群与入排</x:v>
      </x:c>
      <x:c r="C6" s="17" t="n">
        <x:v>10</x:v>
      </x:c>
      <x:c r="D6" s="17" t="str">
        <x:v>诊断不可靠/安全缺失</x:v>
      </x:c>
      <x:c r="E6" s="17" t="str">
        <x:v>基本合理但可招募性不足</x:v>
      </x:c>
      <x:c r="F6" s="17" t="str">
        <x:v>科学、可招募、适用于中美</x:v>
      </x:c>
      <x:c r="G6" s="17" t="str"/>
      <x:c r="H6" s="17" t="str"/>
      <x:c r="I6" s="17" t="str"/>
      <x:c r="J6" s="22" t="n">
        <x:f>IFERROR(C6*H6/4*100/SUM($C$4:$C$17),0)</x:f>
        <x:v>0</x:v>
      </x:c>
      <x:c r="K6" s="17" t="str">
        <x:v>No</x:v>
      </x:c>
      <x:c r="L6" s="17" t="str">
        <x:v>医学/运营</x:v>
      </x:c>
    </x:row>
    <x:row r="7" ht="15" hidden="0" customHeight="1">
      <x:c r="A7" s="17" t="str">
        <x:v>R04</x:v>
      </x:c>
      <x:c r="B7" s="17" t="str">
        <x:v>剂量与干预</x:v>
      </x:c>
      <x:c r="C7" s="17" t="n">
        <x:v>8</x:v>
      </x:c>
      <x:c r="D7" s="17" t="str">
        <x:v>虚构最优剂量/无减量</x:v>
      </x:c>
      <x:c r="E7" s="17" t="str">
        <x:v>可理解但依据不足</x:v>
      </x:c>
      <x:c r="F7" s="17" t="str">
        <x:v>剂量、递增、回退、依从和盲法完整</x:v>
      </x:c>
      <x:c r="G7" s="17" t="str"/>
      <x:c r="H7" s="17" t="str"/>
      <x:c r="I7" s="17" t="str"/>
      <x:c r="J7" s="22" t="n">
        <x:f>IFERROR(C7*H7/4*100/SUM($C$4:$C$17),0)</x:f>
        <x:v>0</x:v>
      </x:c>
      <x:c r="K7" s="17" t="str">
        <x:v>No</x:v>
      </x:c>
      <x:c r="L7" s="17" t="str">
        <x:v>医学/安全</x:v>
      </x:c>
    </x:row>
    <x:row r="8" ht="15" hidden="0" customHeight="1">
      <x:c r="A8" s="17" t="str">
        <x:v>R05</x:v>
      </x:c>
      <x:c r="B8" s="17" t="str">
        <x:v>终点与Estimand</x:v>
      </x:c>
      <x:c r="C8" s="17" t="n">
        <x:v>12</x:v>
      </x:c>
      <x:c r="D8" s="17" t="str">
        <x:v>不能回答目标/时间冲突</x:v>
      </x:c>
      <x:c r="E8" s="17" t="str">
        <x:v>合理但伴发事件不足</x:v>
      </x:c>
      <x:c r="F8" s="17" t="str">
        <x:v>终点、时间、estimand和意义一致</x:v>
      </x:c>
      <x:c r="G8" s="17" t="str"/>
      <x:c r="H8" s="17" t="str"/>
      <x:c r="I8" s="17" t="str"/>
      <x:c r="J8" s="22" t="n">
        <x:f>IFERROR(C8*H8/4*100/SUM($C$4:$C$17),0)</x:f>
        <x:v>0</x:v>
      </x:c>
      <x:c r="K8" s="17" t="str">
        <x:v>No</x:v>
      </x:c>
      <x:c r="L8" s="17" t="str">
        <x:v>医学/统计/注册</x:v>
      </x:c>
    </x:row>
    <x:row r="9" ht="15" hidden="0" customHeight="1">
      <x:c r="A9" s="17" t="str">
        <x:v>R06</x:v>
      </x:c>
      <x:c r="B9" s="17" t="str">
        <x:v>样本量与统计</x:v>
      </x:c>
      <x:c r="C9" s="17" t="n">
        <x:v>12</x:v>
      </x:c>
      <x:c r="D9" s="17" t="str">
        <x:v>无法复算/明显错误</x:v>
      </x:c>
      <x:c r="E9" s="17" t="str">
        <x:v>可复算但敏感性不足</x:v>
      </x:c>
      <x:c r="F9" s="17" t="str">
        <x:v>完整可复算并处理缺失/多重性/区域</x:v>
      </x:c>
      <x:c r="G9" s="17" t="str"/>
      <x:c r="H9" s="17" t="str"/>
      <x:c r="I9" s="17" t="str"/>
      <x:c r="J9" s="22" t="n">
        <x:f>IFERROR(C9*H9/4*100/SUM($C$4:$C$17),0)</x:f>
        <x:v>0</x:v>
      </x:c>
      <x:c r="K9" s="17" t="str">
        <x:v>No</x:v>
      </x:c>
      <x:c r="L9" s="17" t="str">
        <x:v>统计</x:v>
      </x:c>
    </x:row>
    <x:row r="10" ht="15" hidden="0" customHeight="1">
      <x:c r="A10" s="17" t="str">
        <x:v>R07</x:v>
      </x:c>
      <x:c r="B10" s="17" t="str">
        <x:v>安全与停药</x:v>
      </x:c>
      <x:c r="C10" s="17" t="n">
        <x:v>12</x:v>
      </x:c>
      <x:c r="D10" s="17" t="str">
        <x:v>遗漏关键风险</x:v>
      </x:c>
      <x:c r="E10" s="17" t="str">
        <x:v>主要风险覆盖但流程不完整</x:v>
      </x:c>
      <x:c r="F10" s="17" t="str">
        <x:v>SoA、停药、造影、SAE等闭环</x:v>
      </x:c>
      <x:c r="G10" s="17" t="str"/>
      <x:c r="H10" s="17" t="str"/>
      <x:c r="I10" s="17" t="str"/>
      <x:c r="J10" s="22" t="n">
        <x:f>IFERROR(C10*H10/4*100/SUM($C$4:$C$17),0)</x:f>
        <x:v>0</x:v>
      </x:c>
      <x:c r="K10" s="17" t="str">
        <x:v>No</x:v>
      </x:c>
      <x:c r="L10" s="17" t="str">
        <x:v>安全</x:v>
      </x:c>
    </x:row>
    <x:row r="11" ht="15" hidden="0" customHeight="1">
      <x:c r="A11" s="17" t="str">
        <x:v>R08</x:v>
      </x:c>
      <x:c r="B11" s="17" t="str">
        <x:v>FDA逻辑</x:v>
      </x:c>
      <x:c r="C11" s="17" t="n">
        <x:v>7</x:v>
      </x:c>
      <x:c r="D11" s="17" t="str">
        <x:v>误判IND豁免/声称认可</x:v>
      </x:c>
      <x:c r="E11" s="17" t="str">
        <x:v>识别路径但论证有限</x:v>
      </x:c>
      <x:c r="F11" s="17" t="str">
        <x:v>路径、依赖资料和会议问题清楚</x:v>
      </x:c>
      <x:c r="G11" s="17" t="str"/>
      <x:c r="H11" s="17" t="str"/>
      <x:c r="I11" s="17" t="str"/>
      <x:c r="J11" s="22" t="n">
        <x:f>IFERROR(C11*H11/4*100/SUM($C$4:$C$17),0)</x:f>
        <x:v>0</x:v>
      </x:c>
      <x:c r="K11" s="17" t="str">
        <x:v>No</x:v>
      </x:c>
      <x:c r="L11" s="17" t="str">
        <x:v>FDA注册</x:v>
      </x:c>
    </x:row>
    <x:row r="12" ht="15" hidden="0" customHeight="1">
      <x:c r="A12" s="17" t="str">
        <x:v>R09</x:v>
      </x:c>
      <x:c r="B12" s="17" t="str">
        <x:v>NMPA逻辑</x:v>
      </x:c>
      <x:c r="C12" s="17" t="n">
        <x:v>7</x:v>
      </x:c>
      <x:c r="D12" s="17" t="str">
        <x:v>忽略CTA/中国数据</x:v>
      </x:c>
      <x:c r="E12" s="17" t="str">
        <x:v>识别2.4/CTA但区域策略不足</x:v>
      </x:c>
      <x:c r="F12" s="17" t="str">
        <x:v>分类假设、CTA、MRCT和CDE问题完整</x:v>
      </x:c>
      <x:c r="G12" s="17" t="str"/>
      <x:c r="H12" s="17" t="str"/>
      <x:c r="I12" s="17" t="str"/>
      <x:c r="J12" s="22" t="n">
        <x:f>IFERROR(C12*H12/4*100/SUM($C$4:$C$17),0)</x:f>
        <x:v>0</x:v>
      </x:c>
      <x:c r="K12" s="17" t="str">
        <x:v>No</x:v>
      </x:c>
      <x:c r="L12" s="17" t="str">
        <x:v>NMPA注册</x:v>
      </x:c>
    </x:row>
    <x:row r="13" ht="15" hidden="0" customHeight="1">
      <x:c r="A13" s="17" t="str">
        <x:v>R10</x:v>
      </x:c>
      <x:c r="B13" s="17" t="str">
        <x:v>运营可执行性</x:v>
      </x:c>
      <x:c r="C13" s="17" t="n">
        <x:v>8</x:v>
      </x:c>
      <x:c r="D13" s="17" t="str">
        <x:v>无法实施</x:v>
      </x:c>
      <x:c r="E13" s="17" t="str">
        <x:v>有描述但未吸收可行性</x:v>
      </x:c>
      <x:c r="F13" s="17" t="str">
        <x:v>按中心能力调整并有风险管理</x:v>
      </x:c>
      <x:c r="G13" s="17" t="str"/>
      <x:c r="H13" s="17" t="str"/>
      <x:c r="I13" s="17" t="str"/>
      <x:c r="J13" s="22" t="n">
        <x:f>IFERROR(C13*H13/4*100/SUM($C$4:$C$17),0)</x:f>
        <x:v>0</x:v>
      </x:c>
      <x:c r="K13" s="17" t="str">
        <x:v>No</x:v>
      </x:c>
      <x:c r="L13" s="17" t="str">
        <x:v>运营</x:v>
      </x:c>
    </x:row>
    <x:row r="14" ht="15" hidden="0" customHeight="1">
      <x:c r="A14" s="17" t="str">
        <x:v>R11</x:v>
      </x:c>
      <x:c r="B14" s="17" t="str">
        <x:v>结构完整性</x:v>
      </x:c>
      <x:c r="C14" s="17" t="n">
        <x:v>5</x:v>
      </x:c>
      <x:c r="D14" s="17" t="str">
        <x:v>严重缺章</x:v>
      </x:c>
      <x:c r="E14" s="17" t="str">
        <x:v>主体完整但模板化</x:v>
      </x:c>
      <x:c r="F14" s="17" t="str">
        <x:v>M11逻辑、摘要、SoA和附录完整</x:v>
      </x:c>
      <x:c r="G14" s="17" t="str"/>
      <x:c r="H14" s="17" t="str"/>
      <x:c r="I14" s="17" t="str"/>
      <x:c r="J14" s="22" t="n">
        <x:f>IFERROR(C14*H14/4*100/SUM($C$4:$C$17),0)</x:f>
        <x:v>0</x:v>
      </x:c>
      <x:c r="K14" s="17" t="str">
        <x:v>No</x:v>
      </x:c>
      <x:c r="L14" s="17" t="str">
        <x:v>写作</x:v>
      </x:c>
    </x:row>
    <x:row r="15" ht="15" hidden="0" customHeight="1">
      <x:c r="A15" s="17" t="str">
        <x:v>R12</x:v>
      </x:c>
      <x:c r="B15" s="17" t="str">
        <x:v>跨交付物一致性</x:v>
      </x:c>
      <x:c r="C15" s="17" t="n">
        <x:v>4</x:v>
      </x:c>
      <x:c r="D15" s="17" t="str">
        <x:v>关键值/定义冲突</x:v>
      </x:c>
      <x:c r="E15" s="17" t="str">
        <x:v>少量可修正差异</x:v>
      </x:c>
      <x:c r="F15" s="17" t="str">
        <x:v>Protocol/SoA/统计/区域附件一致</x:v>
      </x:c>
      <x:c r="G15" s="17" t="str"/>
      <x:c r="H15" s="17" t="str"/>
      <x:c r="I15" s="17" t="str"/>
      <x:c r="J15" s="22" t="n">
        <x:f>IFERROR(C15*H15/4*100/SUM($C$4:$C$17),0)</x:f>
        <x:v>0</x:v>
      </x:c>
      <x:c r="K15" s="17" t="str">
        <x:v>No</x:v>
      </x:c>
      <x:c r="L15" s="17" t="str">
        <x:v>质量</x:v>
      </x:c>
    </x:row>
    <x:row r="16" ht="15" hidden="0" customHeight="1">
      <x:c r="A16" s="17" t="str">
        <x:v>R13</x:v>
      </x:c>
      <x:c r="B16" s="17" t="str">
        <x:v>来源与TBD治理</x:v>
      </x:c>
      <x:c r="C16" s="17" t="n">
        <x:v>2</x:v>
      </x:c>
      <x:c r="D16" s="17" t="str">
        <x:v>无来源且未知写成事实</x:v>
      </x:c>
      <x:c r="E16" s="17" t="str">
        <x:v>部分来源/TBD</x:v>
      </x:c>
      <x:c r="F16" s="17" t="str">
        <x:v>关键决策有来源和责任节点</x:v>
      </x:c>
      <x:c r="G16" s="17" t="str"/>
      <x:c r="H16" s="17" t="str"/>
      <x:c r="I16" s="17" t="str"/>
      <x:c r="J16" s="22" t="n">
        <x:f>IFERROR(C16*H16/4*100/SUM($C$4:$C$17),0)</x:f>
        <x:v>0</x:v>
      </x:c>
      <x:c r="K16" s="17" t="str">
        <x:v>No</x:v>
      </x:c>
      <x:c r="L16" s="17" t="str">
        <x:v>质量</x:v>
      </x:c>
    </x:row>
    <x:row r="17" ht="15" hidden="0" customHeight="1">
      <x:c r="A17" s="17" t="str">
        <x:v>R14</x:v>
      </x:c>
      <x:c r="B17" s="17" t="str">
        <x:v>Phase 2反馈闭环</x:v>
      </x:c>
      <x:c r="C17" s="17" t="n">
        <x:v>10</x:v>
      </x:c>
      <x:c r="D17" s="17" t="str">
        <x:v>忽略反馈</x:v>
      </x:c>
      <x:c r="E17" s="17" t="str">
        <x:v>部分修订</x:v>
      </x:c>
      <x:c r="F17" s="17" t="str">
        <x:v>逐项闭环并传播至全部对象</x:v>
      </x:c>
      <x:c r="G17" s="17" t="str"/>
      <x:c r="H17" s="17" t="str"/>
      <x:c r="I17" s="17" t="str"/>
      <x:c r="J17" s="22" t="n">
        <x:f>IFERROR(C17*H17/4*100/SUM($C$4:$C$17),0)</x:f>
        <x:v>0</x:v>
      </x:c>
      <x:c r="K17" s="17" t="str">
        <x:v>No</x:v>
      </x:c>
      <x:c r="L17" s="17" t="str">
        <x:v>跨职能</x:v>
      </x:c>
    </x:row>
    <x:row r="18" ht="15" hidden="0" customHeight="1">
      <x:c r="A18" s="12" t="str">
        <x:v>总分</x:v>
      </x:c>
      <x:c r="B18" s="12"/>
      <x:c r="C18" s="12"/>
      <x:c r="D18" s="12"/>
      <x:c r="E18" s="12"/>
      <x:c r="F18" s="12"/>
      <x:c r="G18" s="12"/>
      <x:c r="H18" s="12"/>
      <x:c r="I18" s="12"/>
      <x:c r="J18" s="12" t="n">
        <x:f>SUM(J4:J17)</x:f>
        <x:v>0</x:v>
      </x:c>
    </x:row>
    <x:row r="19"/>
  </x:sheetData>
  <x:mergeCells>
    <x:mergeCell ref="A1:L1"/>
    <x:mergeCell ref="A18:I18"/>
  </x:mergeCells>
  <x:conditionalFormatting sqref="H4:H17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dataValidations count="2">
    <x:dataValidation type="list" sqref="H4:H17">
      <x:formula1>"0,1,2,3,4"</x:formula1>
    </x:dataValidation>
    <x:dataValidation type="list" sqref="K4:K17">
      <x:formula1>"No,Yes"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50" hidden="0" customWidth="1"/>
    <x:col min="4" max="4" width="12" hidden="0" customWidth="1"/>
    <x:col min="5" max="5" width="32" hidden="0" customWidth="1"/>
    <x:col min="6" max="6" width="14" hidden="0" customWidth="1"/>
    <x:col min="7" max="7" width="12" hidden="0" customWidth="1"/>
    <x:col min="8" max="8" width="12" hidden="0" customWidth="1"/>
    <x:col min="9" max="9" width="32" hidden="0" customWidth="1"/>
    <x:col min="10" max="10" width="38" hidden="0" customWidth="1"/>
  </x:cols>
  <x:sheetData>
    <x:row r="1" ht="19.200000762939453" hidden="0" customHeight="1">
      <x:c r="A1" s="5" t="str">
        <x:v>硬失败与阻断项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/>
    <x:row r="3" ht="15" hidden="0" customHeight="1">
      <x:c r="A3" s="28" t="str">
        <x:v>ID</x:v>
      </x:c>
      <x:c r="B3" s="28" t="str">
        <x:v>类别</x:v>
      </x:c>
      <x:c r="C3" s="28" t="str">
        <x:v>硬失败定义</x:v>
      </x:c>
      <x:c r="D3" s="28" t="str">
        <x:v>触发</x:v>
      </x:c>
      <x:c r="E3" s="28" t="str">
        <x:v>证据位置</x:v>
      </x:c>
      <x:c r="F3" s="28" t="str">
        <x:v>严重性</x:v>
      </x:c>
      <x:c r="G3" s="28" t="str">
        <x:v>扣分</x:v>
      </x:c>
      <x:c r="H3" s="28" t="str">
        <x:v>Gate</x:v>
      </x:c>
      <x:c r="I3" s="28" t="str">
        <x:v>处置</x:v>
      </x:c>
      <x:c r="J3" s="28" t="str">
        <x:v>备注</x:v>
      </x:c>
    </x:row>
    <x:row r="4" ht="15" hidden="0" customHeight="1">
      <x:c r="A4" s="17" t="str">
        <x:v>HF01</x:v>
      </x:c>
      <x:c r="B4" s="17" t="str">
        <x:v>安全</x:v>
      </x:c>
      <x:c r="C4" s="17" t="str">
        <x:v>遗漏肾功能、乳酸性酸中毒、造影/手术/缺氧管理</x:v>
      </x:c>
      <x:c r="D4" s="17" t="str">
        <x:v>N</x:v>
      </x:c>
      <x:c r="E4" s="17" t="str"/>
      <x:c r="F4" s="17" t="str">
        <x:v>Critical</x:v>
      </x:c>
      <x:c r="G4" s="17" t="n">
        <x:f>IF(D4="Y",IF(F4="Critical",20,IF(F4="Major",10,5)),0)</x:f>
        <x:v>0</x:v>
      </x:c>
      <x:c r="H4" s="17" t="str">
        <x:v>Y</x:v>
      </x:c>
      <x:c r="I4" s="17" t="str">
        <x:v>安全专家重构</x:v>
      </x:c>
      <x:c r="J4" s="17" t="str"/>
    </x:row>
    <x:row r="5" ht="15" hidden="0" customHeight="1">
      <x:c r="A5" s="17" t="str">
        <x:v>HF02</x:v>
      </x:c>
      <x:c r="B5" s="17" t="str">
        <x:v>伦理</x:v>
      </x:c>
      <x:c r="C5" s="17" t="str">
        <x:v>纳入不适合高风险人群且无保护</x:v>
      </x:c>
      <x:c r="D5" s="17" t="str">
        <x:v>N</x:v>
      </x:c>
      <x:c r="E5" s="17" t="str"/>
      <x:c r="F5" s="17" t="str">
        <x:v>Critical</x:v>
      </x:c>
      <x:c r="G5" s="17" t="n">
        <x:f>IF(D5="Y",IF(F5="Critical",20,IF(F5="Major",10,5)),0)</x:f>
        <x:v>0</x:v>
      </x:c>
      <x:c r="H5" s="17" t="str">
        <x:v>Y</x:v>
      </x:c>
      <x:c r="I5" s="17" t="str">
        <x:v>阻断</x:v>
      </x:c>
      <x:c r="J5" s="17" t="str"/>
    </x:row>
    <x:row r="6" ht="15" hidden="0" customHeight="1">
      <x:c r="A6" s="17" t="str">
        <x:v>HF03</x:v>
      </x:c>
      <x:c r="B6" s="17" t="str">
        <x:v>统计</x:v>
      </x:c>
      <x:c r="C6" s="17" t="str">
        <x:v>主要终点/时间点在各交付物实质冲突</x:v>
      </x:c>
      <x:c r="D6" s="17" t="str">
        <x:v>N</x:v>
      </x:c>
      <x:c r="E6" s="17" t="str"/>
      <x:c r="F6" s="17" t="str">
        <x:v>Major</x:v>
      </x:c>
      <x:c r="G6" s="17" t="n">
        <x:f>IF(D6="Y",IF(F6="Critical",20,IF(F6="Major",10,5)),0)</x:f>
        <x:v>0</x:v>
      </x:c>
      <x:c r="H6" s="17" t="str">
        <x:v>Y</x:v>
      </x:c>
      <x:c r="I6" s="17" t="str">
        <x:v>解决一致性</x:v>
      </x:c>
      <x:c r="J6" s="17" t="str"/>
    </x:row>
    <x:row r="7" ht="15" hidden="0" customHeight="1">
      <x:c r="A7" s="17" t="str">
        <x:v>HF04</x:v>
      </x:c>
      <x:c r="B7" s="17" t="str">
        <x:v>统计</x:v>
      </x:c>
      <x:c r="C7" s="17" t="str">
        <x:v>样本量无法复算或效应量无来源</x:v>
      </x:c>
      <x:c r="D7" s="17" t="str">
        <x:v>N</x:v>
      </x:c>
      <x:c r="E7" s="17" t="str"/>
      <x:c r="F7" s="17" t="str">
        <x:v>Major</x:v>
      </x:c>
      <x:c r="G7" s="17" t="n">
        <x:f>IF(D7="Y",IF(F7="Critical",20,IF(F7="Major",10,5)),0)</x:f>
        <x:v>0</x:v>
      </x:c>
      <x:c r="H7" s="17" t="str">
        <x:v>N</x:v>
      </x:c>
      <x:c r="I7" s="17" t="str">
        <x:v>统计重算</x:v>
      </x:c>
      <x:c r="J7" s="17" t="str"/>
    </x:row>
    <x:row r="8" ht="15" hidden="0" customHeight="1">
      <x:c r="A8" s="17" t="str">
        <x:v>HF05</x:v>
      </x:c>
      <x:c r="B8" s="17" t="str">
        <x:v>FDA</x:v>
      </x:c>
      <x:c r="C8" s="17" t="str">
        <x:v>将标签支持研究错误写为无需IND</x:v>
      </x:c>
      <x:c r="D8" s="17" t="str">
        <x:v>N</x:v>
      </x:c>
      <x:c r="E8" s="17" t="str"/>
      <x:c r="F8" s="17" t="str">
        <x:v>Critical</x:v>
      </x:c>
      <x:c r="G8" s="17" t="n">
        <x:f>IF(D8="Y",IF(F8="Critical",20,IF(F8="Major",10,5)),0)</x:f>
        <x:v>0</x:v>
      </x:c>
      <x:c r="H8" s="17" t="str">
        <x:v>Y</x:v>
      </x:c>
      <x:c r="I8" s="17" t="str">
        <x:v>注册复核</x:v>
      </x:c>
      <x:c r="J8" s="17" t="str"/>
    </x:row>
    <x:row r="9" ht="15" hidden="0" customHeight="1">
      <x:c r="A9" s="17" t="str">
        <x:v>HF06</x:v>
      </x:c>
      <x:c r="B9" s="17" t="str">
        <x:v>NMPA</x:v>
      </x:c>
      <x:c r="C9" s="17" t="str">
        <x:v>忽略CTA/分类或声称CDE已接受</x:v>
      </x:c>
      <x:c r="D9" s="17" t="str">
        <x:v>N</x:v>
      </x:c>
      <x:c r="E9" s="17" t="str"/>
      <x:c r="F9" s="17" t="str">
        <x:v>Critical</x:v>
      </x:c>
      <x:c r="G9" s="17" t="n">
        <x:f>IF(D9="Y",IF(F9="Critical",20,IF(F9="Major",10,5)),0)</x:f>
        <x:v>0</x:v>
      </x:c>
      <x:c r="H9" s="17" t="str">
        <x:v>Y</x:v>
      </x:c>
      <x:c r="I9" s="17" t="str">
        <x:v>注册复核</x:v>
      </x:c>
      <x:c r="J9" s="17" t="str"/>
    </x:row>
    <x:row r="10" ht="15" hidden="0" customHeight="1">
      <x:c r="A10" s="17" t="str">
        <x:v>HF07</x:v>
      </x:c>
      <x:c r="B10" s="17" t="str">
        <x:v>泄漏</x:v>
      </x:c>
      <x:c r="C10" s="17" t="str">
        <x:v>使用截止日后隐藏资料或复现特异真实表述</x:v>
      </x:c>
      <x:c r="D10" s="17" t="str">
        <x:v>N</x:v>
      </x:c>
      <x:c r="E10" s="17" t="str"/>
      <x:c r="F10" s="17" t="str">
        <x:v>Critical</x:v>
      </x:c>
      <x:c r="G10" s="17" t="n">
        <x:f>IF(D10="Y",IF(F10="Critical",20,IF(F10="Major",10,5)),0)</x:f>
        <x:v>0</x:v>
      </x:c>
      <x:c r="H10" s="17" t="str">
        <x:v>Y</x:v>
      </x:c>
      <x:c r="I10" s="17" t="str">
        <x:v>运行作废</x:v>
      </x:c>
      <x:c r="J10" s="17" t="str"/>
    </x:row>
    <x:row r="11" ht="15" hidden="0" customHeight="1">
      <x:c r="A11" s="17" t="str">
        <x:v>HF08</x:v>
      </x:c>
      <x:c r="B11" s="17" t="str">
        <x:v>证据</x:v>
      </x:c>
      <x:c r="C11" s="17" t="str">
        <x:v>把机制证据写成已证实PAD临床疗效</x:v>
      </x:c>
      <x:c r="D11" s="17" t="str">
        <x:v>N</x:v>
      </x:c>
      <x:c r="E11" s="17" t="str"/>
      <x:c r="F11" s="17" t="str">
        <x:v>Major</x:v>
      </x:c>
      <x:c r="G11" s="17" t="n">
        <x:f>IF(D11="Y",IF(F11="Critical",20,IF(F11="Major",10,5)),0)</x:f>
        <x:v>0</x:v>
      </x:c>
      <x:c r="H11" s="17" t="str">
        <x:v>Y</x:v>
      </x:c>
      <x:c r="I11" s="17" t="str">
        <x:v>医学重构</x:v>
      </x:c>
      <x:c r="J11" s="17" t="str"/>
    </x:row>
    <x:row r="12" ht="15" hidden="0" customHeight="1">
      <x:c r="A12" s="17" t="str">
        <x:v>HF09</x:v>
      </x:c>
      <x:c r="B12" s="17" t="str">
        <x:v>运营</x:v>
      </x:c>
      <x:c r="C12" s="17" t="str">
        <x:v>主要终点要求中心普遍不具备且无替代</x:v>
      </x:c>
      <x:c r="D12" s="17" t="str">
        <x:v>N</x:v>
      </x:c>
      <x:c r="E12" s="17" t="str"/>
      <x:c r="F12" s="17" t="str">
        <x:v>Major</x:v>
      </x:c>
      <x:c r="G12" s="17" t="n">
        <x:f>IF(D12="Y",IF(F12="Critical",20,IF(F12="Major",10,5)),0)</x:f>
        <x:v>0</x:v>
      </x:c>
      <x:c r="H12" s="17" t="str">
        <x:v>N</x:v>
      </x:c>
      <x:c r="I12" s="17" t="str">
        <x:v>运营修订</x:v>
      </x:c>
      <x:c r="J12" s="17" t="str"/>
    </x:row>
    <x:row r="13" ht="15" hidden="0" customHeight="1">
      <x:c r="A13" s="17" t="str">
        <x:v>HF10</x:v>
      </x:c>
      <x:c r="B13" s="17" t="str">
        <x:v>流程</x:v>
      </x:c>
      <x:c r="C13" s="17" t="str">
        <x:v>停药等同退出研究导致系统性缺失</x:v>
      </x:c>
      <x:c r="D13" s="17" t="str">
        <x:v>N</x:v>
      </x:c>
      <x:c r="E13" s="17" t="str"/>
      <x:c r="F13" s="17" t="str">
        <x:v>Major</x:v>
      </x:c>
      <x:c r="G13" s="17" t="n">
        <x:f>IF(D13="Y",IF(F13="Critical",20,IF(F13="Major",10,5)),0)</x:f>
        <x:v>0</x:v>
      </x:c>
      <x:c r="H13" s="17" t="str">
        <x:v>N</x:v>
      </x:c>
      <x:c r="I13" s="17" t="str">
        <x:v>estimand修订</x:v>
      </x:c>
      <x:c r="J13" s="17" t="str"/>
    </x:row>
    <x:row r="14" ht="15" hidden="0" customHeight="1">
      <x:c r="A14" s="17" t="str">
        <x:v>HF11</x:v>
      </x:c>
      <x:c r="B14" s="17" t="str">
        <x:v>产品</x:v>
      </x:c>
      <x:c r="C14" s="17" t="str">
        <x:v>虚构制剂、批号、稳定性或BE结论</x:v>
      </x:c>
      <x:c r="D14" s="17" t="str">
        <x:v>N</x:v>
      </x:c>
      <x:c r="E14" s="17" t="str"/>
      <x:c r="F14" s="17" t="str">
        <x:v>Major</x:v>
      </x:c>
      <x:c r="G14" s="17" t="n">
        <x:f>IF(D14="Y",IF(F14="Critical",20,IF(F14="Major",10,5)),0)</x:f>
        <x:v>0</x:v>
      </x:c>
      <x:c r="H14" s="17" t="str">
        <x:v>N</x:v>
      </x:c>
      <x:c r="I14" s="17" t="str">
        <x:v>CMC确认</x:v>
      </x:c>
      <x:c r="J14" s="17" t="str"/>
    </x:row>
    <x:row r="15" ht="15" hidden="0" customHeight="1">
      <x:c r="A15" s="17" t="str">
        <x:v>HF12</x:v>
      </x:c>
      <x:c r="B15" s="17" t="str">
        <x:v>责任</x:v>
      </x:c>
      <x:c r="C15" s="17" t="str">
        <x:v>资料缺失时将未知写为正式事实</x:v>
      </x:c>
      <x:c r="D15" s="17" t="str">
        <x:v>N</x:v>
      </x:c>
      <x:c r="E15" s="17" t="str"/>
      <x:c r="F15" s="17" t="str">
        <x:v>Major</x:v>
      </x:c>
      <x:c r="G15" s="17" t="n">
        <x:f>IF(D15="Y",IF(F15="Critical",20,IF(F15="Major",10,5)),0)</x:f>
        <x:v>0</x:v>
      </x:c>
      <x:c r="H15" s="17" t="str">
        <x:v>N</x:v>
      </x:c>
      <x:c r="I15" s="17" t="str">
        <x:v>恢复候选状态</x:v>
      </x:c>
      <x:c r="J15" s="17" t="str"/>
    </x:row>
    <x:row r="16"/>
  </x:sheetData>
  <x:mergeCells>
    <x:mergeCell ref="A1:J1"/>
  </x:mergeCells>
  <x:conditionalFormatting sqref="D4:D15">
    <x:cfRule type="expression" dxfId="0" priority="1">
      <x:formula>D4="Y"</x:formula>
    </x:cfRule>
  </x:conditionalFormatting>
  <x:dataValidations count="1">
    <x:dataValidation type="list" sqref="D4:D15">
      <x:formula1>"N,Y"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44" hidden="0" customWidth="1"/>
    <x:col min="4" max="4" width="32" hidden="0" customWidth="1"/>
    <x:col min="5" max="5" width="26" hidden="0" customWidth="1"/>
    <x:col min="6" max="6" width="14" hidden="0" customWidth="1"/>
    <x:col min="7" max="7" width="12" hidden="0" customWidth="1"/>
    <x:col min="8" max="8" width="16" hidden="0" customWidth="1"/>
    <x:col min="9" max="9" width="14" hidden="0" customWidth="1"/>
    <x:col min="10" max="10" width="16" hidden="0" customWidth="1"/>
    <x:col min="11" max="11" width="16" hidden="0" customWidth="1"/>
    <x:col min="12" max="12" width="16" hidden="0" customWidth="1"/>
    <x:col min="13" max="13" width="32" hidden="0" customWidth="1"/>
    <x:col min="14" max="14" width="28" hidden="0" customWidth="1"/>
  </x:cols>
  <x:sheetData>
    <x:row r="1" ht="19.200000762939453" hidden="0" customHeight="1">
      <x:c r="A1" s="5" t="str">
        <x:v>关键事实与设计一致性核对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/>
    <x:row r="3" ht="15" hidden="0" customHeight="1">
      <x:c r="A3" s="28" t="str">
        <x:v>ID</x:v>
      </x:c>
      <x:c r="B3" s="28" t="str">
        <x:v>核对主题</x:v>
      </x:c>
      <x:c r="C3" s="28" t="str">
        <x:v>预期/允许范围</x:v>
      </x:c>
      <x:c r="D3" s="28" t="str">
        <x:v>AI输出值</x:v>
      </x:c>
      <x:c r="E3" s="28" t="str">
        <x:v>来源位置</x:v>
      </x:c>
      <x:c r="F3" s="28" t="str">
        <x:v>判定</x:v>
      </x:c>
      <x:c r="G3" s="28" t="str">
        <x:v>严重度</x:v>
      </x:c>
      <x:c r="H3" s="28" t="str">
        <x:v>摘要</x:v>
      </x:c>
      <x:c r="I3" s="28" t="str">
        <x:v>SoA</x:v>
      </x:c>
      <x:c r="J3" s="28" t="str">
        <x:v>统计</x:v>
      </x:c>
      <x:c r="K3" s="28" t="str">
        <x:v>FDA</x:v>
      </x:c>
      <x:c r="L3" s="28" t="str">
        <x:v>NMPA</x:v>
      </x:c>
      <x:c r="M3" s="28" t="str">
        <x:v>需修订对象</x:v>
      </x:c>
      <x:c r="N3" s="28" t="str">
        <x:v>备注</x:v>
      </x:c>
    </x:row>
    <x:row r="4" ht="15" hidden="0" customHeight="1">
      <x:c r="A4" s="17" t="str">
        <x:v>FC001</x:v>
      </x:c>
      <x:c r="B4" s="17" t="str">
        <x:v>科学截止日</x:v>
      </x:c>
      <x:c r="C4" s="17" t="str">
        <x:v>2021-11-11；项目特异资料不得越界</x:v>
      </x:c>
      <x:c r="D4" s="17" t="str"/>
      <x:c r="E4" s="17" t="str"/>
      <x:c r="F4" s="17" t="str">
        <x:v>未评</x:v>
      </x:c>
      <x:c r="G4" s="17" t="str">
        <x:v>高</x:v>
      </x:c>
      <x:c r="H4" s="17" t="str"/>
      <x:c r="I4" s="17" t="str"/>
      <x:c r="J4" s="17" t="str"/>
      <x:c r="K4" s="17" t="str"/>
      <x:c r="L4" s="17" t="str"/>
      <x:c r="M4" s="17" t="str"/>
      <x:c r="N4" s="17" t="str"/>
    </x:row>
    <x:row r="5" ht="15" hidden="0" customHeight="1">
      <x:c r="A5" s="17" t="str">
        <x:v>FC002</x:v>
      </x:c>
      <x:c r="B5" s="17" t="str">
        <x:v>人群</x:v>
      </x:c>
      <x:c r="C5" s="17" t="str">
        <x:v>无糖尿病、症状性PAD；诊断算法明确</x:v>
      </x:c>
      <x:c r="D5" s="17" t="str"/>
      <x:c r="E5" s="17" t="str"/>
      <x:c r="F5" s="17" t="str">
        <x:v>未评</x:v>
      </x:c>
      <x:c r="G5" s="17" t="str">
        <x:v>高</x:v>
      </x:c>
      <x:c r="H5" s="17" t="str"/>
      <x:c r="I5" s="17" t="str"/>
      <x:c r="J5" s="17" t="str"/>
      <x:c r="K5" s="17" t="str"/>
      <x:c r="L5" s="17" t="str"/>
      <x:c r="M5" s="17" t="str"/>
      <x:c r="N5" s="17" t="str"/>
    </x:row>
    <x:row r="6" ht="15" hidden="0" customHeight="1">
      <x:c r="A6" s="17" t="str">
        <x:v>FC003</x:v>
      </x:c>
      <x:c r="B6" s="17" t="str">
        <x:v>主要终点</x:v>
      </x:c>
      <x:c r="C6" s="17" t="str">
        <x:v>测量临床功能/症状获益；时间统一</x:v>
      </x:c>
      <x:c r="D6" s="17" t="str"/>
      <x:c r="E6" s="17" t="str"/>
      <x:c r="F6" s="17" t="str">
        <x:v>未评</x:v>
      </x:c>
      <x:c r="G6" s="17" t="str">
        <x:v>高</x:v>
      </x:c>
      <x:c r="H6" s="17" t="str"/>
      <x:c r="I6" s="17" t="str"/>
      <x:c r="J6" s="17" t="str"/>
      <x:c r="K6" s="17" t="str"/>
      <x:c r="L6" s="17" t="str"/>
      <x:c r="M6" s="17" t="str"/>
      <x:c r="N6" s="17" t="str"/>
    </x:row>
    <x:row r="7" ht="15" hidden="0" customHeight="1">
      <x:c r="A7" s="17" t="str">
        <x:v>FC004</x:v>
      </x:c>
      <x:c r="B7" s="17" t="str">
        <x:v>剂量</x:v>
      </x:c>
      <x:c r="C7" s="17" t="str">
        <x:v>标签/耐受依据；递增/回退/停药</x:v>
      </x:c>
      <x:c r="D7" s="17" t="str"/>
      <x:c r="E7" s="17" t="str"/>
      <x:c r="F7" s="17" t="str">
        <x:v>未评</x:v>
      </x:c>
      <x:c r="G7" s="17" t="str">
        <x:v>高</x:v>
      </x:c>
      <x:c r="H7" s="17" t="str"/>
      <x:c r="I7" s="17" t="str"/>
      <x:c r="J7" s="17" t="str"/>
      <x:c r="K7" s="17" t="str"/>
      <x:c r="L7" s="17" t="str"/>
      <x:c r="M7" s="17" t="str"/>
      <x:c r="N7" s="17" t="str"/>
    </x:row>
    <x:row r="8" ht="15" hidden="0" customHeight="1">
      <x:c r="A8" s="17" t="str">
        <x:v>FC005</x:v>
      </x:c>
      <x:c r="B8" s="17" t="str">
        <x:v>肾功能/造影/手术</x:v>
      </x:c>
      <x:c r="C8" s="17" t="str">
        <x:v>阈值、复查和重启条件</x:v>
      </x:c>
      <x:c r="D8" s="17" t="str"/>
      <x:c r="E8" s="17" t="str"/>
      <x:c r="F8" s="17" t="str">
        <x:v>未评</x:v>
      </x:c>
      <x:c r="G8" s="17" t="str">
        <x:v>高</x:v>
      </x:c>
      <x:c r="H8" s="17" t="str"/>
      <x:c r="I8" s="17" t="str"/>
      <x:c r="J8" s="17" t="str"/>
      <x:c r="K8" s="17" t="str"/>
      <x:c r="L8" s="17" t="str"/>
      <x:c r="M8" s="17" t="str"/>
      <x:c r="N8" s="17" t="str"/>
    </x:row>
    <x:row r="9" ht="15" hidden="0" customHeight="1">
      <x:c r="A9" s="17" t="str">
        <x:v>FC006</x:v>
      </x:c>
      <x:c r="B9" s="17" t="str">
        <x:v>停药后随访</x:v>
      </x:c>
      <x:c r="C9" s="17" t="str">
        <x:v>继续终点评估；区分撤回同意</x:v>
      </x:c>
      <x:c r="D9" s="17" t="str"/>
      <x:c r="E9" s="17" t="str"/>
      <x:c r="F9" s="17" t="str">
        <x:v>未评</x:v>
      </x:c>
      <x:c r="G9" s="17" t="str">
        <x:v>高</x:v>
      </x:c>
      <x:c r="H9" s="17" t="str"/>
      <x:c r="I9" s="17" t="str"/>
      <x:c r="J9" s="17" t="str"/>
      <x:c r="K9" s="17" t="str"/>
      <x:c r="L9" s="17" t="str"/>
      <x:c r="M9" s="17" t="str"/>
      <x:c r="N9" s="17" t="str"/>
    </x:row>
    <x:row r="10" ht="15" hidden="0" customHeight="1">
      <x:c r="A10" s="17" t="str">
        <x:v>FC007</x:v>
      </x:c>
      <x:c r="B10" s="17" t="str">
        <x:v>样本量</x:v>
      </x:c>
      <x:c r="C10" s="17" t="str">
        <x:v>可复算；来源、脱落和敏感性</x:v>
      </x:c>
      <x:c r="D10" s="17" t="str"/>
      <x:c r="E10" s="17" t="str"/>
      <x:c r="F10" s="17" t="str">
        <x:v>未评</x:v>
      </x:c>
      <x:c r="G10" s="17" t="str">
        <x:v>高</x:v>
      </x:c>
      <x:c r="H10" s="17" t="str"/>
      <x:c r="I10" s="17" t="str"/>
      <x:c r="J10" s="17" t="str"/>
      <x:c r="K10" s="17" t="str"/>
      <x:c r="L10" s="17" t="str"/>
      <x:c r="M10" s="17" t="str"/>
      <x:c r="N10" s="17" t="str"/>
    </x:row>
    <x:row r="11" ht="15" hidden="0" customHeight="1">
      <x:c r="A11" s="17" t="str">
        <x:v>FC008</x:v>
      </x:c>
      <x:c r="B11" s="17" t="str">
        <x:v>运动干预</x:v>
      </x:c>
      <x:c r="C11" s="17" t="str">
        <x:v>标准化、记录并统计处理</x:v>
      </x:c>
      <x:c r="D11" s="17" t="str"/>
      <x:c r="E11" s="17" t="str"/>
      <x:c r="F11" s="17" t="str">
        <x:v>未评</x:v>
      </x:c>
      <x:c r="G11" s="17" t="str">
        <x:v>高</x:v>
      </x:c>
      <x:c r="H11" s="17" t="str"/>
      <x:c r="I11" s="17" t="str"/>
      <x:c r="J11" s="17" t="str"/>
      <x:c r="K11" s="17" t="str"/>
      <x:c r="L11" s="17" t="str"/>
      <x:c r="M11" s="17" t="str"/>
      <x:c r="N11" s="17" t="str"/>
    </x:row>
    <x:row r="12" ht="15" hidden="0" customHeight="1">
      <x:c r="A12" s="17" t="str">
        <x:v>FC009</x:v>
      </x:c>
      <x:c r="B12" s="17" t="str">
        <x:v>FDA路径</x:v>
      </x:c>
      <x:c r="C12" s="17" t="str">
        <x:v>IND/505(b)(2)为待确认假设</x:v>
      </x:c>
      <x:c r="D12" s="17" t="str"/>
      <x:c r="E12" s="17" t="str"/>
      <x:c r="F12" s="17" t="str">
        <x:v>未评</x:v>
      </x:c>
      <x:c r="G12" s="17" t="str">
        <x:v>高</x:v>
      </x:c>
      <x:c r="H12" s="17" t="str"/>
      <x:c r="I12" s="17" t="str"/>
      <x:c r="J12" s="17" t="str"/>
      <x:c r="K12" s="17" t="str"/>
      <x:c r="L12" s="17" t="str"/>
      <x:c r="M12" s="17" t="str"/>
      <x:c r="N12" s="17" t="str"/>
    </x:row>
    <x:row r="13" ht="15" hidden="0" customHeight="1">
      <x:c r="A13" s="17" t="str">
        <x:v>FC010</x:v>
      </x:c>
      <x:c r="B13" s="17" t="str">
        <x:v>NMPA路径</x:v>
      </x:c>
      <x:c r="C13" s="17" t="str">
        <x:v>CTA+2.4假设及中国数据策略</x:v>
      </x:c>
      <x:c r="D13" s="17" t="str"/>
      <x:c r="E13" s="17" t="str"/>
      <x:c r="F13" s="17" t="str">
        <x:v>未评</x:v>
      </x:c>
      <x:c r="G13" s="17" t="str">
        <x:v>高</x:v>
      </x:c>
      <x:c r="H13" s="17" t="str"/>
      <x:c r="I13" s="17" t="str"/>
      <x:c r="J13" s="17" t="str"/>
      <x:c r="K13" s="17" t="str"/>
      <x:c r="L13" s="17" t="str"/>
      <x:c r="M13" s="17" t="str"/>
      <x:c r="N13" s="17" t="str"/>
    </x:row>
    <x:row r="14" ht="15" hidden="0" customHeight="1">
      <x:c r="A14" s="17" t="str">
        <x:v>FC011</x:v>
      </x:c>
      <x:c r="B14" s="17" t="str">
        <x:v>中心能力</x:v>
      </x:c>
      <x:c r="C14" s="17" t="str">
        <x:v>6MWT、ABI、药房和样本可执行</x:v>
      </x:c>
      <x:c r="D14" s="17" t="str"/>
      <x:c r="E14" s="17" t="str"/>
      <x:c r="F14" s="17" t="str">
        <x:v>未评</x:v>
      </x:c>
      <x:c r="G14" s="17" t="str">
        <x:v>高</x:v>
      </x:c>
      <x:c r="H14" s="17" t="str"/>
      <x:c r="I14" s="17" t="str"/>
      <x:c r="J14" s="17" t="str"/>
      <x:c r="K14" s="17" t="str"/>
      <x:c r="L14" s="17" t="str"/>
      <x:c r="M14" s="17" t="str"/>
      <x:c r="N14" s="17" t="str"/>
    </x:row>
    <x:row r="15" ht="15" hidden="0" customHeight="1">
      <x:c r="A15" s="17" t="str">
        <x:v>FC012</x:v>
      </x:c>
      <x:c r="B15" s="17" t="str">
        <x:v>跨文档一致性</x:v>
      </x:c>
      <x:c r="C15" s="17" t="str">
        <x:v>样本量、剂量、时间、终点无冲突</x:v>
      </x:c>
      <x:c r="D15" s="17" t="str"/>
      <x:c r="E15" s="17" t="str"/>
      <x:c r="F15" s="17" t="str">
        <x:v>未评</x:v>
      </x:c>
      <x:c r="G15" s="17" t="str">
        <x:v>高</x:v>
      </x:c>
      <x:c r="H15" s="17" t="str"/>
      <x:c r="I15" s="17" t="str"/>
      <x:c r="J15" s="17" t="str"/>
      <x:c r="K15" s="17" t="str"/>
      <x:c r="L15" s="17" t="str"/>
      <x:c r="M15" s="17" t="str"/>
      <x:c r="N15" s="17" t="str"/>
    </x:row>
    <x:row r="16"/>
  </x:sheetData>
  <x:mergeCells>
    <x:mergeCell ref="A1:N1"/>
  </x:mergeCells>
  <x:dataValidations count="1">
    <x:dataValidation type="list" sqref="F4:F15">
      <x:formula1>"未评,符合,部分符合,不符合,不适用"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4" hidden="0" customWidth="1"/>
    <x:col min="4" max="4" width="20" hidden="0" customWidth="1"/>
    <x:col min="5" max="5" width="16" hidden="0" customWidth="1"/>
    <x:col min="6" max="6" width="18" hidden="0" customWidth="1"/>
    <x:col min="7" max="7" width="40" hidden="0" customWidth="1"/>
    <x:col min="8" max="8" width="34" hidden="0" customWidth="1"/>
    <x:col min="9" max="9" width="14" hidden="0" customWidth="1"/>
    <x:col min="10" max="10" width="14" hidden="0" customWidth="1"/>
    <x:col min="11" max="11" width="18" hidden="0" customWidth="1"/>
    <x:col min="12" max="12" width="40" hidden="0" customWidth="1"/>
  </x:cols>
  <x:sheetData>
    <x:row r="1" ht="19.200000762939453" hidden="0" customHeight="1">
      <x:c r="A1" s="5" t="str">
        <x:v>模型运行与人工干预日志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/>
    <x:row r="3" ht="15" hidden="0" customHeight="1">
      <x:c r="A3" s="28" t="str">
        <x:v>Run_ID</x:v>
      </x:c>
      <x:c r="B3" s="28" t="str">
        <x:v>时间</x:v>
      </x:c>
      <x:c r="C3" s="28" t="str">
        <x:v>模型/版本</x:v>
      </x:c>
      <x:c r="D3" s="28" t="str">
        <x:v>输入包版本</x:v>
      </x:c>
      <x:c r="E3" s="28" t="str">
        <x:v>阶段</x:v>
      </x:c>
      <x:c r="F3" s="28" t="str">
        <x:v>提示词版本</x:v>
      </x:c>
      <x:c r="G3" s="28" t="str">
        <x:v>输出文件</x:v>
      </x:c>
      <x:c r="H3" s="28" t="str">
        <x:v>自动检查</x:v>
      </x:c>
      <x:c r="I3" s="28" t="str">
        <x:v>人工干预</x:v>
      </x:c>
      <x:c r="J3" s="28" t="str">
        <x:v>人工推翻</x:v>
      </x:c>
      <x:c r="K3" s="28" t="str">
        <x:v>状态</x:v>
      </x:c>
      <x:c r="L3" s="28" t="str">
        <x:v>备注</x:v>
      </x:c>
    </x:row>
    <x:row r="4" ht="15" hidden="0" customHeight="1">
      <x:c r="A4" s="17" t="str"/>
      <x:c r="B4" s="40" t="n">
        <x:v>46220.66977480324</x:v>
      </x:c>
      <x:c r="C4" s="17" t="str"/>
      <x:c r="D4" s="17" t="str"/>
      <x:c r="E4" s="17" t="str">
        <x:v>Phase 1</x:v>
      </x:c>
      <x:c r="F4" s="17" t="str">
        <x:v>v1</x:v>
      </x:c>
      <x:c r="G4" s="17" t="str"/>
      <x:c r="H4" s="17" t="str"/>
      <x:c r="I4" s="17" t="n">
        <x:v>0</x:v>
      </x:c>
      <x:c r="J4" s="17" t="n">
        <x:v>0</x:v>
      </x:c>
      <x:c r="K4" s="17" t="str">
        <x:v>未运行</x:v>
      </x:c>
      <x:c r="L4" s="17" t="str"/>
    </x:row>
    <x:row r="5" ht="15" hidden="0" customHeight="1">
      <x:c r="A5" s="17"/>
      <x:c r="B5" s="40"/>
      <x:c r="C5" s="17"/>
      <x:c r="D5" s="17"/>
      <x:c r="E5" s="17"/>
      <x:c r="F5" s="17"/>
      <x:c r="G5" s="17"/>
      <x:c r="H5" s="17"/>
      <x:c r="I5" s="17"/>
      <x:c r="J5" s="17"/>
      <x:c r="K5" s="17"/>
      <x:c r="L5" s="17"/>
    </x:row>
    <x:row r="6" ht="15" hidden="0" customHeight="1">
      <x:c r="A6" s="17"/>
      <x:c r="B6" s="40"/>
      <x:c r="C6" s="17"/>
      <x:c r="D6" s="17"/>
      <x:c r="E6" s="17"/>
      <x:c r="F6" s="17"/>
      <x:c r="G6" s="17"/>
      <x:c r="H6" s="17"/>
      <x:c r="I6" s="17"/>
      <x:c r="J6" s="17"/>
      <x:c r="K6" s="17"/>
      <x:c r="L6" s="17"/>
    </x:row>
    <x:row r="7" ht="15" hidden="0" customHeight="1">
      <x:c r="A7" s="17"/>
      <x:c r="B7" s="40"/>
      <x:c r="C7" s="17"/>
      <x:c r="D7" s="17"/>
      <x:c r="E7" s="17"/>
      <x:c r="F7" s="17"/>
      <x:c r="G7" s="17"/>
      <x:c r="H7" s="17"/>
      <x:c r="I7" s="17"/>
      <x:c r="J7" s="17"/>
      <x:c r="K7" s="17"/>
      <x:c r="L7" s="17"/>
    </x:row>
    <x:row r="8" ht="15" hidden="0" customHeight="1">
      <x:c r="A8" s="17"/>
      <x:c r="B8" s="40"/>
      <x:c r="C8" s="17"/>
      <x:c r="D8" s="17"/>
      <x:c r="E8" s="17"/>
      <x:c r="F8" s="17"/>
      <x:c r="G8" s="17"/>
      <x:c r="H8" s="17"/>
      <x:c r="I8" s="17"/>
      <x:c r="J8" s="17"/>
      <x:c r="K8" s="17"/>
      <x:c r="L8" s="17"/>
    </x:row>
    <x:row r="9" ht="15" hidden="0" customHeight="1">
      <x:c r="A9" s="17"/>
      <x:c r="B9" s="40"/>
      <x:c r="C9" s="17"/>
      <x:c r="D9" s="17"/>
      <x:c r="E9" s="17"/>
      <x:c r="F9" s="17"/>
      <x:c r="G9" s="17"/>
      <x:c r="H9" s="17"/>
      <x:c r="I9" s="17"/>
      <x:c r="J9" s="17"/>
      <x:c r="K9" s="17"/>
      <x:c r="L9" s="17"/>
    </x:row>
    <x:row r="10" ht="15" hidden="0" customHeight="1">
      <x:c r="A10" s="17"/>
      <x:c r="B10" s="40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</x:row>
    <x:row r="11" ht="15" hidden="0" customHeight="1">
      <x:c r="A11" s="17"/>
      <x:c r="B11" s="40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</x:row>
    <x:row r="12" ht="15" hidden="0" customHeight="1">
      <x:c r="A12" s="17"/>
      <x:c r="B12" s="40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</x:row>
    <x:row r="13" ht="15" hidden="0" customHeight="1">
      <x:c r="A13" s="17"/>
      <x:c r="B13" s="40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</x:row>
    <x:row r="14" ht="15" hidden="0" customHeight="1">
      <x:c r="A14" s="17"/>
      <x:c r="B14" s="40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</x:row>
    <x:row r="15" ht="15" hidden="0" customHeight="1">
      <x:c r="A15" s="17"/>
      <x:c r="B15" s="40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</x:row>
    <x:row r="16" ht="15" hidden="0" customHeight="1">
      <x:c r="A16" s="17"/>
      <x:c r="B16" s="40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</x:row>
    <x:row r="17" ht="15" hidden="0" customHeight="1">
      <x:c r="A17" s="17"/>
      <x:c r="B17" s="40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</x:row>
    <x:row r="18" ht="15" hidden="0" customHeight="1">
      <x:c r="A18" s="17"/>
      <x:c r="B18" s="40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</x:row>
    <x:row r="19" ht="15" hidden="0" customHeight="1">
      <x:c r="A19" s="17"/>
      <x:c r="B19" s="40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</x:row>
    <x:row r="20" ht="15" hidden="0" customHeight="1">
      <x:c r="A20" s="17"/>
      <x:c r="B20" s="40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</x:row>
    <x:row r="21" ht="15" hidden="0" customHeight="1">
      <x:c r="A21" s="17"/>
      <x:c r="B21" s="40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</x:row>
    <x:row r="22" ht="15" hidden="0" customHeight="1">
      <x:c r="A22" s="17"/>
      <x:c r="B22" s="40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</x:row>
    <x:row r="23" ht="15" hidden="0" customHeight="1">
      <x:c r="A23" s="17"/>
      <x:c r="B23" s="40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</x:row>
    <x:row r="24" ht="15" hidden="0" customHeight="1">
      <x:c r="A24" s="17"/>
      <x:c r="B24" s="40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</x:row>
    <x:row r="25" ht="15" hidden="0" customHeight="1">
      <x:c r="A25" s="17"/>
      <x:c r="B25" s="40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</x:row>
    <x:row r="26">
      <x:c r="A26" s="17"/>
      <x:c r="B26" s="40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</x:row>
    <x:row r="27">
      <x:c r="A27" s="17"/>
      <x:c r="B27" s="40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</x:row>
    <x:row r="28">
      <x:c r="A28" s="17"/>
      <x:c r="B28" s="40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</x:row>
    <x:row r="29">
      <x:c r="A29" s="17"/>
      <x:c r="B29" s="40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</x:row>
    <x:row r="30">
      <x:c r="A30" s="17"/>
      <x:c r="B30" s="40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</x:row>
    <x:row r="31">
      <x:c r="A31" s="17"/>
      <x:c r="B31" s="40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</x:row>
    <x:row r="32">
      <x:c r="A32" s="17"/>
      <x:c r="B32" s="40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</x:row>
    <x:row r="33">
      <x:c r="A33" s="17"/>
      <x:c r="B33" s="40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</x:row>
    <x:row r="34">
      <x:c r="A34" s="17"/>
      <x:c r="B34" s="40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</x:row>
    <x:row r="35">
      <x:c r="A35" s="17"/>
      <x:c r="B35" s="40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</x:row>
    <x:row r="36">
      <x:c r="A36" s="17"/>
      <x:c r="B36" s="40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</x:row>
    <x:row r="37">
      <x:c r="A37" s="17"/>
      <x:c r="B37" s="40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</x:row>
    <x:row r="38">
      <x:c r="A38" s="17"/>
      <x:c r="B38" s="40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</x:row>
    <x:row r="39">
      <x:c r="A39" s="17"/>
      <x:c r="B39" s="40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</x:row>
    <x:row r="40">
      <x:c r="A40" s="17"/>
      <x:c r="B40" s="40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</x:row>
    <x:row r="41">
      <x:c r="A41" s="17"/>
      <x:c r="B41" s="40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</x:row>
    <x:row r="42">
      <x:c r="A42" s="17"/>
      <x:c r="B42" s="40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</x:row>
    <x:row r="43">
      <x:c r="A43" s="17"/>
      <x:c r="B43" s="40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</x:row>
    <x:row r="44">
      <x:c r="A44" s="17"/>
      <x:c r="B44" s="40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</x:row>
    <x:row r="45">
      <x:c r="A45" s="17"/>
      <x:c r="B45" s="40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</x:row>
    <x:row r="46">
      <x:c r="A46" s="17"/>
      <x:c r="B46" s="40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</x:row>
    <x:row r="47">
      <x:c r="A47" s="17"/>
      <x:c r="B47" s="40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</x:row>
    <x:row r="48">
      <x:c r="A48" s="17"/>
      <x:c r="B48" s="40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</x:row>
    <x:row r="49">
      <x:c r="A49" s="17"/>
      <x:c r="B49" s="40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</x:row>
    <x:row r="50">
      <x:c r="A50" s="17"/>
      <x:c r="B50" s="40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</x:row>
    <x:row r="51">
      <x:c r="A51" s="17"/>
      <x:c r="B51" s="40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</x:row>
    <x:row r="52">
      <x:c r="A52" s="17"/>
      <x:c r="B52" s="40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</x:row>
    <x:row r="53">
      <x:c r="A53" s="17"/>
      <x:c r="B53" s="40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</x:row>
    <x:row r="54">
      <x:c r="A54" s="17"/>
      <x:c r="B54" s="40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</x:row>
    <x:row r="55">
      <x:c r="A55" s="17"/>
      <x:c r="B55" s="40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</x:row>
    <x:row r="56">
      <x:c r="A56" s="17"/>
      <x:c r="B56" s="40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</x:row>
    <x:row r="57">
      <x:c r="A57" s="17"/>
      <x:c r="B57" s="40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</x:row>
    <x:row r="58">
      <x:c r="A58" s="17"/>
      <x:c r="B58" s="40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</x:row>
    <x:row r="59">
      <x:c r="A59" s="17"/>
      <x:c r="B59" s="40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</x:row>
    <x:row r="60">
      <x:c r="A60" s="17"/>
      <x:c r="B60" s="40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</x:row>
    <x:row r="61">
      <x:c r="A61" s="17"/>
      <x:c r="B61" s="40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</x:row>
    <x:row r="62">
      <x:c r="A62" s="17"/>
      <x:c r="B62" s="40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</x:row>
    <x:row r="63">
      <x:c r="A63" s="17"/>
      <x:c r="B63" s="40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</x:row>
    <x:row r="64">
      <x:c r="A64" s="17"/>
      <x:c r="B64" s="40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</x:row>
    <x:row r="65">
      <x:c r="A65" s="17"/>
      <x:c r="B65" s="40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</x:row>
    <x:row r="66">
      <x:c r="A66" s="17"/>
      <x:c r="B66" s="40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</x:row>
    <x:row r="67">
      <x:c r="A67" s="17"/>
      <x:c r="B67" s="40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</x:row>
    <x:row r="68">
      <x:c r="A68" s="17"/>
      <x:c r="B68" s="40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</x:row>
    <x:row r="69">
      <x:c r="A69" s="17"/>
      <x:c r="B69" s="40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</x:row>
    <x:row r="70">
      <x:c r="A70" s="17"/>
      <x:c r="B70" s="40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</x:row>
    <x:row r="71">
      <x:c r="A71" s="17"/>
      <x:c r="B71" s="40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</x:row>
    <x:row r="72">
      <x:c r="A72" s="17"/>
      <x:c r="B72" s="40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</x:row>
    <x:row r="73">
      <x:c r="A73" s="17"/>
      <x:c r="B73" s="40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</x:row>
    <x:row r="74">
      <x:c r="A74" s="17"/>
      <x:c r="B74" s="40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</x:row>
    <x:row r="75">
      <x:c r="A75" s="17"/>
      <x:c r="B75" s="40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</x:row>
    <x:row r="76">
      <x:c r="A76" s="17"/>
      <x:c r="B76" s="40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</x:row>
    <x:row r="77">
      <x:c r="A77" s="17"/>
      <x:c r="B77" s="40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</x:row>
    <x:row r="78">
      <x:c r="A78" s="17"/>
      <x:c r="B78" s="40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</x:row>
    <x:row r="79">
      <x:c r="A79" s="17"/>
      <x:c r="B79" s="40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</x:row>
    <x:row r="80">
      <x:c r="A80" s="17"/>
      <x:c r="B80" s="40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</x:row>
    <x:row r="81">
      <x:c r="A81" s="17"/>
      <x:c r="B81" s="40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</x:row>
    <x:row r="82">
      <x:c r="A82" s="17"/>
      <x:c r="B82" s="40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</x:row>
    <x:row r="83">
      <x:c r="A83" s="17"/>
      <x:c r="B83" s="40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</x:row>
    <x:row r="84">
      <x:c r="A84" s="17"/>
      <x:c r="B84" s="40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</x:row>
    <x:row r="85">
      <x:c r="A85" s="17"/>
      <x:c r="B85" s="40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</x:row>
    <x:row r="86">
      <x:c r="A86" s="17"/>
      <x:c r="B86" s="40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</x:row>
    <x:row r="87">
      <x:c r="A87" s="17"/>
      <x:c r="B87" s="40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</x:row>
    <x:row r="88">
      <x:c r="A88" s="17"/>
      <x:c r="B88" s="40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</x:row>
    <x:row r="89">
      <x:c r="A89" s="17"/>
      <x:c r="B89" s="40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</x:row>
    <x:row r="90">
      <x:c r="A90" s="17"/>
      <x:c r="B90" s="40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</x:row>
    <x:row r="91">
      <x:c r="A91" s="17"/>
      <x:c r="B91" s="40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</x:row>
    <x:row r="92">
      <x:c r="A92" s="17"/>
      <x:c r="B92" s="40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</x:row>
    <x:row r="93">
      <x:c r="A93" s="17"/>
      <x:c r="B93" s="40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</x:row>
    <x:row r="94">
      <x:c r="A94" s="17"/>
      <x:c r="B94" s="40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</x:row>
    <x:row r="95">
      <x:c r="A95" s="17"/>
      <x:c r="B95" s="40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</x:row>
    <x:row r="96">
      <x:c r="A96" s="17"/>
      <x:c r="B96" s="40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</x:row>
    <x:row r="97">
      <x:c r="A97" s="17"/>
      <x:c r="B97" s="40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</x:row>
    <x:row r="98">
      <x:c r="A98" s="17"/>
      <x:c r="B98" s="40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</x:row>
    <x:row r="99">
      <x:c r="A99" s="17"/>
      <x:c r="B99" s="40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</x:row>
    <x:row r="100">
      <x:c r="A100" s="17"/>
      <x:c r="B100" s="40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</x:row>
  </x:sheetData>
  <x:mergeCells>
    <x:mergeCell ref="A1:L1"/>
  </x:mergeCells>
  <x:dataValidations count="2">
    <x:dataValidation type="list" sqref="E4:E100">
      <x:formula1>"Phase 1,Phase 2,Evaluator rerun"</x:formula1>
    </x:dataValidation>
    <x:dataValidation type="list" sqref="K4:K100">
      <x:formula1>"未运行,运行中,完成,失败,因泄漏作废"</x:formula1>
    </x:dataValidation>
  </x:dataValidations>
  <x:pageMargins left="0.7" right="0.7" top="0.75" bottom="0.75" header="0.3" footer="0.3"/>
</x:worksheet>
</file>