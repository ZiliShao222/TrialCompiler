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9395c9130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0c6b6a0a2674bfa"/>
    <x:sheet xmlns:r="http://schemas.openxmlformats.org/officeDocument/2006/relationships" name="Candidate_Comparison" sheetId="2" r:id="R4823b68829314be7"/>
    <x:sheet xmlns:r="http://schemas.openxmlformats.org/officeDocument/2006/relationships" name="Source_Manifest" sheetId="3" r:id="Rceb72664aa6845da"/>
    <x:sheet xmlns:r="http://schemas.openxmlformats.org/officeDocument/2006/relationships" name="Trial_Fact_Sheet" sheetId="4" r:id="R75041a53343b4a51"/>
    <x:sheet xmlns:r="http://schemas.openxmlformats.org/officeDocument/2006/relationships" name="Dependency_Graph" sheetId="5" r:id="Rafe2122e2c6845c9"/>
    <x:sheet xmlns:r="http://schemas.openxmlformats.org/officeDocument/2006/relationships" name="Test_Cases" sheetId="6" r:id="R11f2b718dcb94136"/>
    <x:sheet xmlns:r="http://schemas.openxmlformats.org/officeDocument/2006/relationships" name="Synthetic_CRF_Map" sheetId="7" r:id="Rea5407c6d6af44ea"/>
    <x:sheet xmlns:r="http://schemas.openxmlformats.org/officeDocument/2006/relationships" name="Evaluation" sheetId="8" r:id="Rad48aa16baa5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375623"/>
      <x:name val="Carlito"/>
    </x:font>
    <x:font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b988d60f148a1" /><Relationship Type="http://schemas.openxmlformats.org/officeDocument/2006/relationships/theme" Target="/xl/theme/theme1.xml" Id="Rab04291b07dd42ab" /><Relationship Type="http://schemas.openxmlformats.org/officeDocument/2006/relationships/sharedStrings" Target="/xl/sharedStrings.xml" Id="Rce28b599ed0d4788" /><Relationship Type="http://schemas.openxmlformats.org/officeDocument/2006/relationships/worksheet" Target="/xl/worksheets/sheet1.xml" Id="R50c6b6a0a2674bfa" /><Relationship Type="http://schemas.openxmlformats.org/officeDocument/2006/relationships/worksheet" Target="/xl/worksheets/sheet2.xml" Id="R4823b68829314be7" /><Relationship Type="http://schemas.openxmlformats.org/officeDocument/2006/relationships/worksheet" Target="/xl/worksheets/sheet3.xml" Id="Rceb72664aa6845da" /><Relationship Type="http://schemas.openxmlformats.org/officeDocument/2006/relationships/worksheet" Target="/xl/worksheets/sheet4.xml" Id="R75041a53343b4a51" /><Relationship Type="http://schemas.openxmlformats.org/officeDocument/2006/relationships/worksheet" Target="/xl/worksheets/sheet5.xml" Id="Rafe2122e2c6845c9" /><Relationship Type="http://schemas.openxmlformats.org/officeDocument/2006/relationships/worksheet" Target="/xl/worksheets/sheet6.xml" Id="R11f2b718dcb94136" /><Relationship Type="http://schemas.openxmlformats.org/officeDocument/2006/relationships/worksheet" Target="/xl/worksheets/sheet7.xml" Id="Rea5407c6d6af44ea" /><Relationship Type="http://schemas.openxmlformats.org/officeDocument/2006/relationships/worksheet" Target="/xl/worksheets/sheet8.xml" Id="Rad48aa16baa542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8" hidden="0" customWidth="1"/>
    <x:col min="3" max="3" width="34" hidden="0" customWidth="1"/>
  </x:cols>
  <x:sheetData>
    <x:row r="1" ht="19.200000762939453" hidden="0" customHeight="1">
      <x:c r="A1" s="5" t="str">
        <x:v>TrialCompiler 原型测试案例包：NCT04683926 / OMNI-PAIN-103</x:v>
      </x:c>
      <x:c r="B1" s="5"/>
      <x:c r="C1" s="5"/>
      <x:c r="D1" s="5"/>
      <x:c r="E1" s="5"/>
      <x:c r="F1" s="5"/>
      <x:c r="G1" s="5"/>
      <x:c r="H1" s="5"/>
    </x:row>
    <x:row r="2"/>
    <x:row r="3" ht="118.80000305175781" hidden="0" customHeight="1">
      <x:c r="A3" s="13" t="str">
        <x:v>项目定位</x:v>
      </x:c>
      <x:c r="B3" s="19" t="str">
        <x:v>药物研发临床试验 Phase 1；健康志愿者；随机、开放、四周期四序列交叉设计</x:v>
      </x:c>
    </x:row>
    <x:row r="4" ht="171.60000610351562" hidden="0" customHeight="1">
      <x:c r="A4" s="13" t="str">
        <x:v>推荐用途</x:v>
      </x:c>
      <x:c r="B4" s="19" t="str">
        <x:v>同时测试单文档事实抽取/一致性检查，以及 Protocol–SAP–ICF–注册结果之间的跨文档依赖、冲突和版本状态识别</x:v>
      </x:c>
    </x:row>
    <x:row r="5" ht="264" hidden="0" customHeight="1">
      <x:c r="A5" s="13" t="str">
        <x:v>选择理由</x:v>
      </x:c>
      <x:c r="B5" s="19" t="str">
        <x:v>Protocol、独立 SAP、ICF 和 ClinicalTrials.gov 结果均公开；文档可解析；设计事实高度结构化；存在可用于单元测试的自然不一致与显式 CRF/Protocol 时间模型差异</x:v>
      </x:c>
    </x:row>
    <x:row r="6" ht="118.80000305175781" hidden="0" customHeight="1">
      <x:c r="A6" s="13" t="str">
        <x:v>数据边界</x:v>
      </x:c>
      <x:c r="B6" s="19" t="str">
        <x:v>仅使用公开研究级资料与完全合成的 CRF/变更请求；不包含真实患者级数据</x:v>
      </x:c>
    </x:row>
    <x:row r="7" ht="66" hidden="0" customHeight="1">
      <x:c r="A7" s="13" t="str">
        <x:v>主数据库</x:v>
      </x:c>
      <x:c r="B7" s="19" t="str">
        <x:v>ClinicalTrials.gov（美国 NIH/NLM）</x:v>
      </x:c>
    </x:row>
    <x:row r="8" ht="66" hidden="0" customHeight="1">
      <x:c r="A8" s="13" t="str">
        <x:v>试验状态</x:v>
      </x:c>
      <x:c r="B8" s="19" t="str">
        <x:v>Completed；实际入组 24 人；结果已发布</x:v>
      </x:c>
    </x:row>
    <x:row r="9" ht="92.4000015258789" hidden="0" customHeight="1">
      <x:c r="A9" s="13" t="str">
        <x:v>核心干预</x:v>
      </x:c>
      <x:c r="B9" s="19" t="str">
        <x:v>Desmetramadol 10 mg、20 mg、30 mg 空腹；30 mg 进食</x:v>
      </x:c>
    </x:row>
    <x:row r="10" ht="171.60000610351562" hidden="0" customHeight="1">
      <x:c r="A10" s="13" t="str">
        <x:v>推荐原型顺序</x:v>
      </x:c>
      <x:c r="B10" s="19" t="str">
        <x:v>先跑 Protocol 单文档；再加入 SAP、ICF、注册记录与结果；最后注入合成变更，验证影响矩阵和重检闭环</x:v>
      </x:c>
    </x:row>
    <x:row r="11"/>
    <x:row r="12" ht="15" hidden="0" customHeight="1">
      <x:c r="A12" s="13" t="str">
        <x:v>验收范围</x:v>
      </x:c>
      <x:c r="B12" s="13"/>
      <x:c r="C12" s="13"/>
      <x:c r="D12" s="13"/>
      <x:c r="E12" s="13"/>
      <x:c r="F12" s="13"/>
      <x:c r="G12" s="13"/>
      <x:c r="H12" s="13"/>
    </x:row>
    <x:row r="13" ht="26.399999618530273" hidden="0" customHeight="1">
      <x:c r="A13" s="26" t="str">
        <x:v>层级</x:v>
      </x:c>
      <x:c r="B13" s="26" t="str">
        <x:v>最低验收目标</x:v>
      </x:c>
      <x:c r="C13" s="26" t="str">
        <x:v>建议输出</x:v>
      </x:c>
    </x:row>
    <x:row r="14" ht="79.19999694824219" hidden="0" customHeight="1">
      <x:c r="A14" s="19" t="str">
        <x:v>事实抽取</x:v>
      </x:c>
      <x:c r="B14" s="19" t="str">
        <x:v>核心设计事实字段准确率 ≥ 95%，关键数值字段 100%</x:v>
      </x:c>
      <x:c r="C14" s="19" t="str">
        <x:v>Trial Fact Sheet + 来源定位</x:v>
      </x:c>
    </x:row>
    <x:row r="15" ht="92.4000015258789" hidden="0" customHeight="1">
      <x:c r="A15" s="19" t="str">
        <x:v>来源追溯</x:v>
      </x:c>
      <x:c r="B15" s="19" t="str">
        <x:v>每个关键事实均包含文档、版本、页码/章节和证据片段</x:v>
      </x:c>
      <x:c r="C15" s="19" t="str">
        <x:v>Evidence table</x:v>
      </x:c>
    </x:row>
    <x:row r="16" ht="79.19999694824219" hidden="0" customHeight="1">
      <x:c r="A16" s="19" t="str">
        <x:v>单文档检查</x:v>
      </x:c>
      <x:c r="B16" s="19" t="str">
        <x:v>识别水摄入指令、洗脱间隔、分析人群等重复表述差异</x:v>
      </x:c>
      <x:c r="C16" s="19" t="str">
        <x:v>Defect list</x:v>
      </x:c>
    </x:row>
    <x:row r="17" ht="105.5999984741211" hidden="0" customHeight="1">
      <x:c r="A17" s="19" t="str">
        <x:v>跨文档检查</x:v>
      </x:c>
      <x:c r="B17" s="19" t="str">
        <x:v>识别 Protocol–ICF 时长差异、Protocol–SAP/CRF 时间轴差异</x:v>
      </x:c>
      <x:c r="C17" s="19" t="str">
        <x:v>Impact matrix</x:v>
      </x:c>
    </x:row>
    <x:row r="18" ht="118.80000305175781" hidden="0" customHeight="1">
      <x:c r="A18" s="19" t="str">
        <x:v>变更影响</x:v>
      </x:c>
      <x:c r="B18" s="19" t="str">
        <x:v>32 h→36 h 合成变更应传播到 SoA、SAP、ICF、CRF 和结果定义</x:v>
      </x:c>
      <x:c r="C18" s="19" t="str">
        <x:v>Redline + re-test</x:v>
      </x:c>
    </x:row>
    <x:row r="19" ht="79.19999694824219" hidden="0" customHeight="1">
      <x:c r="A19" s="19" t="str">
        <x:v>责任控制</x:v>
      </x:c>
      <x:c r="B19" s="19" t="str">
        <x:v>冲突和高风险项保持“待确认”，不得自动覆盖正式值</x:v>
      </x:c>
      <x:c r="C19" s="19" t="str">
        <x:v>Approval task log</x:v>
      </x:c>
    </x:row>
    <x:row r="20"/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2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4" hidden="0" customWidth="1"/>
    <x:col min="10" max="10" width="50" hidden="0" customWidth="1"/>
    <x:col min="11" max="11" width="12" hidden="0" customWidth="1"/>
  </x:cols>
  <x:sheetData>
    <x:row r="1" ht="19.200000762939453" hidden="0" customHeight="1">
      <x:c r="A1" s="5" t="str">
        <x:v>数据库候选案例比较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/>
    <x:row r="3" ht="15" hidden="0" customHeight="1">
      <x:c r="A3" s="26" t="str">
        <x:v>候选</x:v>
      </x:c>
      <x:c r="B3" s="26" t="str">
        <x:v>NCT</x:v>
      </x:c>
      <x:c r="C3" s="26" t="str">
        <x:v>阶段</x:v>
      </x:c>
      <x:c r="D3" s="26" t="str">
        <x:v>领域</x:v>
      </x:c>
      <x:c r="E3" s="26" t="str">
        <x:v>Protocol</x:v>
      </x:c>
      <x:c r="F3" s="26" t="str">
        <x:v>SAP</x:v>
      </x:c>
      <x:c r="G3" s="26" t="str">
        <x:v>ICF</x:v>
      </x:c>
      <x:c r="H3" s="26" t="str">
        <x:v>结果</x:v>
      </x:c>
      <x:c r="I3" s="26" t="str">
        <x:v>解析难度</x:v>
      </x:c>
      <x:c r="J3" s="26" t="str">
        <x:v>原型适配判断</x:v>
      </x:c>
      <x:c r="K3" s="26" t="str">
        <x:v>推荐层级</x:v>
      </x:c>
    </x:row>
    <x:row r="4" ht="26.399999618530273" hidden="0" customHeight="1">
      <x:c r="A4" s="33" t="str">
        <x:v>Desmetramadol dose proportionality / food effect</x:v>
      </x:c>
      <x:c r="B4" s="33" t="str">
        <x:v>NCT04683926</x:v>
      </x:c>
      <x:c r="C4" s="33" t="str">
        <x:v>Phase 1</x:v>
      </x:c>
      <x:c r="D4" s="33" t="str">
        <x:v>临床药理/镇痛药</x:v>
      </x:c>
      <x:c r="E4" s="33" t="str">
        <x:v>公开独立PDF</x:v>
      </x:c>
      <x:c r="F4" s="33" t="str">
        <x:v>公开独立PDF</x:v>
      </x:c>
      <x:c r="G4" s="33" t="str">
        <x:v>公开独立PDF</x:v>
      </x:c>
      <x:c r="H4" s="33" t="str">
        <x:v>已发布</x:v>
      </x:c>
      <x:c r="I4" s="33" t="str">
        <x:v>低–中</x:v>
      </x:c>
      <x:c r="J4" s="33" t="str">
        <x:v>结构化程度高，且存在自然冲突；最适合首个端到端案例</x:v>
      </x:c>
      <x:c r="K4" s="33" t="str">
        <x:v>主案例</x:v>
      </x:c>
    </x:row>
    <x:row r="5" ht="15" hidden="0" customHeight="1">
      <x:c r="A5" s="19" t="str">
        <x:v>SWOG S1216 Orteronel vs bicalutamide</x:v>
      </x:c>
      <x:c r="B5" s="19" t="str">
        <x:v>NCT01809691</x:v>
      </x:c>
      <x:c r="C5" s="19" t="str">
        <x:v>Phase 3</x:v>
      </x:c>
      <x:c r="D5" s="19" t="str">
        <x:v>前列腺癌</x:v>
      </x:c>
      <x:c r="E5" s="19" t="str">
        <x:v>公开，合并PDF</x:v>
      </x:c>
      <x:c r="F5" s="19" t="str">
        <x:v>合并</x:v>
      </x:c>
      <x:c r="G5" s="19" t="str">
        <x:v>合并</x:v>
      </x:c>
      <x:c r="H5" s="19" t="str">
        <x:v>论文+数据字典</x:v>
      </x:c>
      <x:c r="I5" s="19" t="str">
        <x:v>高</x:v>
      </x:c>
      <x:c r="J5" s="19" t="str">
        <x:v>大型肿瘤试验，适合核心链路稳定后的压力测试</x:v>
      </x:c>
      <x:c r="K5" s="19" t="str">
        <x:v>二阶段</x:v>
      </x:c>
    </x:row>
    <x:row r="6" ht="26.399999618530273" hidden="0" customHeight="1">
      <x:c r="A6" s="19" t="str">
        <x:v>Abemaciclib ± atezolizumab</x:v>
      </x:c>
      <x:c r="B6" s="19" t="str">
        <x:v>NCT04751929</x:v>
      </x:c>
      <x:c r="C6" s="19" t="str">
        <x:v>Phase 2</x:v>
      </x:c>
      <x:c r="D6" s="19" t="str">
        <x:v>转移性前列腺癌</x:v>
      </x:c>
      <x:c r="E6" s="19" t="str">
        <x:v>公开合并PDF</x:v>
      </x:c>
      <x:c r="F6" s="19" t="str">
        <x:v>合并</x:v>
      </x:c>
      <x:c r="G6" s="19" t="str">
        <x:v>公开独立PDF</x:v>
      </x:c>
      <x:c r="H6" s="19" t="str">
        <x:v>研究状态需持续核验</x:v>
      </x:c>
      <x:c r="I6" s="19" t="str">
        <x:v>中</x:v>
      </x:c>
      <x:c r="J6" s="19" t="str">
        <x:v>肿瘤学逻辑复杂，适合语义检查扩展</x:v>
      </x:c>
      <x:c r="K6" s="19" t="str">
        <x:v>备选</x:v>
      </x:c>
    </x:row>
    <x:row r="7" ht="15" hidden="0" customHeight="1">
      <x:c r="A7" s="19" t="str">
        <x:v>PepCan in head and neck cancer</x:v>
      </x:c>
      <x:c r="B7" s="19" t="str">
        <x:v>NCT03821272</x:v>
      </x:c>
      <x:c r="C7" s="19" t="str">
        <x:v>Phase 1/2</x:v>
      </x:c>
      <x:c r="D7" s="19" t="str">
        <x:v>头颈肿瘤</x:v>
      </x:c>
      <x:c r="E7" s="19" t="str">
        <x:v>公开合并PDF</x:v>
      </x:c>
      <x:c r="F7" s="19" t="str">
        <x:v>合并</x:v>
      </x:c>
      <x:c r="G7" s="19" t="str">
        <x:v>公开独立PDF</x:v>
      </x:c>
      <x:c r="H7" s="19" t="str">
        <x:v>有限</x:v>
      </x:c>
      <x:c r="I7" s="19" t="str">
        <x:v>中</x:v>
      </x:c>
      <x:c r="J7" s="19" t="str">
        <x:v>文件齐全但结果和跨文件闭环弱于主案例</x:v>
      </x:c>
      <x:c r="K7" s="19" t="str">
        <x:v>备选</x:v>
      </x:c>
    </x:row>
    <x:row r="8"/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24" hidden="0" customWidth="1"/>
    <x:col min="5" max="5" width="10" hidden="0" customWidth="1"/>
    <x:col min="6" max="6" width="14" hidden="0" customWidth="1"/>
    <x:col min="7" max="7" width="36" hidden="0" customWidth="1"/>
    <x:col min="8" max="8" width="76" hidden="0" customWidth="1"/>
    <x:col min="9" max="9" width="20" hidden="0" customWidth="1"/>
    <x:col min="10" max="10" width="14" hidden="0" customWidth="1"/>
    <x:col min="11" max="11" width="42" hidden="0" customWidth="1"/>
  </x:cols>
  <x:sheetData>
    <x:row r="1" ht="19.200000762939453" hidden="0" customHeight="1">
      <x:c r="A1" s="5" t="str">
        <x:v>公开来源清单与版本控制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/>
    <x:row r="3" ht="15" hidden="0" customHeight="1">
      <x:c r="A3" s="26" t="str">
        <x:v>Source_ID</x:v>
      </x:c>
      <x:c r="B3" s="26" t="str">
        <x:v>文档类型</x:v>
      </x:c>
      <x:c r="C3" s="26" t="str">
        <x:v>文件/页面</x:v>
      </x:c>
      <x:c r="D3" s="26" t="str">
        <x:v>版本/日期</x:v>
      </x:c>
      <x:c r="E3" s="26" t="str">
        <x:v>页数</x:v>
      </x:c>
      <x:c r="F3" s="26" t="str">
        <x:v>公开状态</x:v>
      </x:c>
      <x:c r="G3" s="26" t="str">
        <x:v>用途</x:v>
      </x:c>
      <x:c r="H3" s="26" t="str">
        <x:v>正式URL</x:v>
      </x:c>
      <x:c r="I3" s="26" t="str">
        <x:v>可信层级</x:v>
      </x:c>
      <x:c r="J3" s="26" t="str">
        <x:v>本地文件</x:v>
      </x:c>
      <x:c r="K3" s="26" t="str">
        <x:v>备注</x:v>
      </x:c>
    </x:row>
    <x:row r="4" ht="15" hidden="0" customHeight="1">
      <x:c r="A4" s="19" t="str">
        <x:v>SRC-REG</x:v>
      </x:c>
      <x:c r="B4" s="19" t="str">
        <x:v>注册记录</x:v>
      </x:c>
      <x:c r="C4" s="19" t="str">
        <x:v>ClinicalTrials.gov Study Details</x:v>
      </x:c>
      <x:c r="D4" s="19" t="str">
        <x:v>Last update 2023-04-04</x:v>
      </x:c>
      <x:c r="E4" s="19" t="str"/>
      <x:c r="F4" s="19" t="str">
        <x:v>公开</x:v>
      </x:c>
      <x:c r="G4" s="19" t="str">
        <x:v>结构化注册事实、研究状态、设计、入组</x:v>
      </x:c>
      <x:c r="H4" s="19" t="str">
        <x:v>https://clinicaltrials.gov/study/NCT04683926</x:v>
      </x:c>
      <x:c r="I4" s="19" t="str">
        <x:v>官方注册库</x:v>
      </x:c>
      <x:c r="J4" s="19" t="str">
        <x:v>未打包</x:v>
      </x:c>
      <x:c r="K4" s="19" t="str">
        <x:v>建议下载 JSON 作为机器可读输入</x:v>
      </x:c>
    </x:row>
    <x:row r="5" ht="15" hidden="0" customHeight="1">
      <x:c r="A5" s="19" t="str">
        <x:v>SRC-RES</x:v>
      </x:c>
      <x:c r="B5" s="19" t="str">
        <x:v>结果记录</x:v>
      </x:c>
      <x:c r="C5" s="19" t="str">
        <x:v>ClinicalTrials.gov Results</x:v>
      </x:c>
      <x:c r="D5" s="19" t="str">
        <x:v>Results first posted 2023-04-04</x:v>
      </x:c>
      <x:c r="E5" s="19" t="str"/>
      <x:c r="F5" s="19" t="str">
        <x:v>公开</x:v>
      </x:c>
      <x:c r="G5" s="19" t="str">
        <x:v>实际入组、分析人数、结果和不良事件</x:v>
      </x:c>
      <x:c r="H5" s="19" t="str">
        <x:v>https://clinicaltrials.gov/study/NCT04683926?tab=results</x:v>
      </x:c>
      <x:c r="I5" s="19" t="str">
        <x:v>官方注册库</x:v>
      </x:c>
      <x:c r="J5" s="19" t="str">
        <x:v>未打包</x:v>
      </x:c>
      <x:c r="K5" s="19" t="str">
        <x:v>用于区分计划事实与结果事实</x:v>
      </x:c>
    </x:row>
    <x:row r="6" ht="15" hidden="0" customHeight="1">
      <x:c r="A6" s="19" t="str">
        <x:v>SRC-PROT</x:v>
      </x:c>
      <x:c r="B6" s="19" t="str">
        <x:v>Protocol</x:v>
      </x:c>
      <x:c r="C6" s="19" t="str">
        <x:v>Prot_SAP_000.pdf</x:v>
      </x:c>
      <x:c r="D6" s="19" t="str">
        <x:v>Version 1.2 / 2020-05-11</x:v>
      </x:c>
      <x:c r="E6" s="19" t="n">
        <x:v>52</x:v>
      </x:c>
      <x:c r="F6" s="19" t="str">
        <x:v>公开</x:v>
      </x:c>
      <x:c r="G6" s="19" t="str">
        <x:v>设计、入排、给药、SoA、统计原则</x:v>
      </x:c>
      <x:c r="H6" s="19" t="str">
        <x:v>https://cdn.clinicaltrials.gov/large-docs/26/NCT04683926/Prot_SAP_000.pdf</x:v>
      </x:c>
      <x:c r="I6" s="19" t="str">
        <x:v>申办方提交至官方库</x:v>
      </x:c>
      <x:c r="J6" s="19" t="str">
        <x:v>未打包</x:v>
      </x:c>
      <x:c r="K6" s="19" t="str">
        <x:v>PDF虽名含SAP，但主体为Protocol并含统计章节</x:v>
      </x:c>
    </x:row>
    <x:row r="7" ht="26.399999618530273" hidden="0" customHeight="1">
      <x:c r="A7" s="19" t="str">
        <x:v>SRC-SAP</x:v>
      </x:c>
      <x:c r="B7" s="19" t="str">
        <x:v>SAP</x:v>
      </x:c>
      <x:c r="C7" s="19" t="str">
        <x:v>SAP_001.pdf</x:v>
      </x:c>
      <x:c r="D7" s="19" t="str">
        <x:v>Final v1.0 / 2021-02-09</x:v>
      </x:c>
      <x:c r="E7" s="19" t="n">
        <x:v>54</x:v>
      </x:c>
      <x:c r="F7" s="19" t="str">
        <x:v>公开</x:v>
      </x:c>
      <x:c r="G7" s="19" t="str">
        <x:v>分析人群、TFL、CRF时间轴映射</x:v>
      </x:c>
      <x:c r="H7" s="19" t="str">
        <x:v>https://cdn.clinicaltrials.gov/large-docs/26/NCT04683926/SAP_001.pdf</x:v>
      </x:c>
      <x:c r="I7" s="19" t="str">
        <x:v>申办方/CRO提交至官方库</x:v>
      </x:c>
      <x:c r="J7" s="19" t="str">
        <x:v>未打包</x:v>
      </x:c>
      <x:c r="K7" s="19" t="str">
        <x:v>明确说明Protocol时间轴与CRF period/day结构差异</x:v>
      </x:c>
    </x:row>
    <x:row r="8" ht="15" hidden="0" customHeight="1">
      <x:c r="A8" s="19" t="str">
        <x:v>SRC-ICF</x:v>
      </x:c>
      <x:c r="B8" s="19" t="str">
        <x:v>ICF</x:v>
      </x:c>
      <x:c r="C8" s="19" t="str">
        <x:v>ICF_002.pdf</x:v>
      </x:c>
      <x:c r="D8" s="19" t="str">
        <x:v>IRB approved / 2020-07-29</x:v>
      </x:c>
      <x:c r="E8" s="19" t="n">
        <x:v>15</x:v>
      </x:c>
      <x:c r="F8" s="19" t="str">
        <x:v>公开</x:v>
      </x:c>
      <x:c r="G8" s="19" t="str">
        <x:v>受试者层面的目的、时长、风险、流程</x:v>
      </x:c>
      <x:c r="H8" s="19" t="str">
        <x:v>https://cdn.clinicaltrials.gov/large-docs/26/NCT04683926/ICF_002.pdf</x:v>
      </x:c>
      <x:c r="I8" s="19" t="str">
        <x:v>IRB批准版本</x:v>
      </x:c>
      <x:c r="J8" s="19" t="str">
        <x:v>未打包</x:v>
      </x:c>
      <x:c r="K8" s="19" t="str">
        <x:v>包含与Protocol不同的时长表述</x:v>
      </x:c>
    </x:row>
    <x:row r="9" ht="15" hidden="0" customHeight="1">
      <x:c r="A9" s="19" t="str">
        <x:v>SRC-SYNCRF</x:v>
      </x:c>
      <x:c r="B9" s="19" t="str">
        <x:v>合成CRF</x:v>
      </x:c>
      <x:c r="C9" s="19" t="str">
        <x:v>Workbook: Synthetic_CRF_Map</x:v>
      </x:c>
      <x:c r="D9" s="19" t="str">
        <x:v>v0.1 / 原型用</x:v>
      </x:c>
      <x:c r="E9" s="19" t="str"/>
      <x:c r="F9" s="19" t="str">
        <x:v>完全合成</x:v>
      </x:c>
      <x:c r="G9" s="19" t="str">
        <x:v>验证字段映射与变更传播</x:v>
      </x:c>
      <x:c r="H9" s="19" t="str"/>
      <x:c r="I9" s="19" t="str">
        <x:v>测试资产</x:v>
      </x:c>
      <x:c r="J9" s="19" t="str">
        <x:v>已打包</x:v>
      </x:c>
      <x:c r="K9" s="19" t="str">
        <x:v>基于公开Protocol/SAP重建，不代表原始CRF</x:v>
      </x:c>
    </x:row>
    <x:row r="10" ht="26.399999618530273" hidden="0" customHeight="1">
      <x:c r="A10" s="19" t="str">
        <x:v>SRC-MUT</x:v>
      </x:c>
      <x:c r="B10" s="19" t="str">
        <x:v>合成变更请求</x:v>
      </x:c>
      <x:c r="C10" s="19" t="str">
        <x:v>Synthetic_Amendment_PK32h_to_36h.md</x:v>
      </x:c>
      <x:c r="D10" s="19" t="str">
        <x:v>v0.1 / 原型用</x:v>
      </x:c>
      <x:c r="E10" s="19" t="str"/>
      <x:c r="F10" s="19" t="str">
        <x:v>完全合成</x:v>
      </x:c>
      <x:c r="G10" s="19" t="str">
        <x:v>验证影响分析、红线与重检</x:v>
      </x:c>
      <x:c r="H10" s="19" t="str"/>
      <x:c r="I10" s="19" t="str">
        <x:v>测试资产</x:v>
      </x:c>
      <x:c r="J10" s="19" t="str">
        <x:v>已打包</x:v>
      </x:c>
      <x:c r="K10" s="19" t="str">
        <x:v>不得解释为真实方案修订</x:v>
      </x:c>
    </x:row>
    <x:row r="11"/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24" hidden="0" customWidth="1"/>
    <x:col min="4" max="4" width="48" hidden="0" customWidth="1"/>
    <x:col min="5" max="5" width="10" hidden="0" customWidth="1"/>
    <x:col min="6" max="6" width="20" hidden="0" customWidth="1"/>
    <x:col min="7" max="7" width="14" hidden="0" customWidth="1"/>
    <x:col min="8" max="8" width="24" hidden="0" customWidth="1"/>
    <x:col min="9" max="9" width="48" hidden="0" customWidth="1"/>
    <x:col min="10" max="10" width="14" hidden="0" customWidth="1"/>
    <x:col min="11" max="11" width="18" hidden="0" customWidth="1"/>
    <x:col min="12" max="12" width="20" hidden="0" customWidth="1"/>
    <x:col min="13" max="13" width="36" hidden="0" customWidth="1"/>
    <x:col min="14" max="14" width="12" hidden="0" customWidth="1"/>
    <x:col min="15" max="15" width="40" hidden="0" customWidth="1"/>
  </x:cols>
  <x:sheetData>
    <x:row r="1" ht="19.200000762939453" hidden="0" customHeight="1">
      <x:c r="A1" s="5" t="str">
        <x:v>Trial Fact Sheet（初始人工金标准）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/>
    <x:row r="3" ht="15" hidden="0" customHeight="1">
      <x:c r="A3" s="26" t="str">
        <x:v>Fact_ID</x:v>
      </x:c>
      <x:c r="B3" s="26" t="str">
        <x:v>领域</x:v>
      </x:c>
      <x:c r="C3" s="26" t="str">
        <x:v>事实名称</x:v>
      </x:c>
      <x:c r="D3" s="26" t="str">
        <x:v>当前值</x:v>
      </x:c>
      <x:c r="E3" s="26" t="str">
        <x:v>单位</x:v>
      </x:c>
      <x:c r="F3" s="26" t="str">
        <x:v>Source_ID</x:v>
      </x:c>
      <x:c r="G3" s="26" t="str">
        <x:v>来源页码</x:v>
      </x:c>
      <x:c r="H3" s="26" t="str">
        <x:v>章节/位置</x:v>
      </x:c>
      <x:c r="I3" s="26" t="str">
        <x:v>证据摘要</x:v>
      </x:c>
      <x:c r="J3" s="26" t="str">
        <x:v>状态</x:v>
      </x:c>
      <x:c r="K3" s="26" t="str">
        <x:v>责任角色</x:v>
      </x:c>
      <x:c r="L3" s="26" t="str">
        <x:v>适用范围</x:v>
      </x:c>
      <x:c r="M3" s="26" t="str">
        <x:v>受影响对象</x:v>
      </x:c>
      <x:c r="N3" s="26" t="str">
        <x:v>风险级别</x:v>
      </x:c>
      <x:c r="O3" s="26" t="str">
        <x:v>备注</x:v>
      </x:c>
    </x:row>
    <x:row r="4" ht="15" hidden="0" customHeight="1">
      <x:c r="A4" s="19" t="str">
        <x:v>F001</x:v>
      </x:c>
      <x:c r="B4" s="19" t="str">
        <x:v>标识</x:v>
      </x:c>
      <x:c r="C4" s="19" t="str">
        <x:v>ClinicalTrials.gov ID</x:v>
      </x:c>
      <x:c r="D4" s="19" t="str">
        <x:v>NCT04683926</x:v>
      </x:c>
      <x:c r="E4" s="19" t="str"/>
      <x:c r="F4" s="19" t="str">
        <x:v>SRC-REG</x:v>
      </x:c>
      <x:c r="G4" s="19" t="str">
        <x:v>网页</x:v>
      </x:c>
      <x:c r="H4" s="19" t="str">
        <x:v>Study Overview</x:v>
      </x:c>
      <x:c r="I4" s="19" t="str">
        <x:v>研究唯一注册号</x:v>
      </x:c>
      <x:c r="J4" s="19" t="str">
        <x:v>已确认</x:v>
      </x:c>
      <x:c r="K4" s="19" t="str">
        <x:v>项目负责人</x:v>
      </x:c>
      <x:c r="L4" s="19" t="str">
        <x:v>项目级</x:v>
      </x:c>
      <x:c r="M4" s="19" t="str">
        <x:v>全部文档</x:v>
      </x:c>
      <x:c r="N4" s="19" t="str">
        <x:v>低</x:v>
      </x:c>
      <x:c r="O4" s="19" t="str"/>
    </x:row>
    <x:row r="5" ht="15" hidden="0" customHeight="1">
      <x:c r="A5" s="19" t="str">
        <x:v>F002</x:v>
      </x:c>
      <x:c r="B5" s="19" t="str">
        <x:v>标识</x:v>
      </x:c>
      <x:c r="C5" s="19" t="str">
        <x:v>Protocol number</x:v>
      </x:c>
      <x:c r="D5" s="19" t="str">
        <x:v>OMNI-PAIN-103</x:v>
      </x:c>
      <x:c r="E5" s="19" t="str"/>
      <x:c r="F5" s="19" t="str">
        <x:v>SRC-PROT</x:v>
      </x:c>
      <x:c r="G5" s="19" t="str">
        <x:v>封面</x:v>
      </x:c>
      <x:c r="H5" s="19" t="str">
        <x:v>Cover</x:v>
      </x:c>
      <x:c r="I5" s="19" t="str">
        <x:v>Syntrix Protocol OMNI-PAIN-103</x:v>
      </x:c>
      <x:c r="J5" s="19" t="str">
        <x:v>已确认</x:v>
      </x:c>
      <x:c r="K5" s="19" t="str">
        <x:v>临床运营</x:v>
      </x:c>
      <x:c r="L5" s="19" t="str">
        <x:v>项目级</x:v>
      </x:c>
      <x:c r="M5" s="19" t="str">
        <x:v>Protocol/SAP/ICF/注册</x:v>
      </x:c>
      <x:c r="N5" s="19" t="str">
        <x:v>低</x:v>
      </x:c>
      <x:c r="O5" s="19" t="str"/>
    </x:row>
    <x:row r="6" ht="15" hidden="0" customHeight="1">
      <x:c r="A6" s="19" t="str">
        <x:v>F003</x:v>
      </x:c>
      <x:c r="B6" s="19" t="str">
        <x:v>设计</x:v>
      </x:c>
      <x:c r="C6" s="19" t="str">
        <x:v>临床阶段</x:v>
      </x:c>
      <x:c r="D6" s="19" t="str">
        <x:v>Phase 1</x:v>
      </x:c>
      <x:c r="E6" s="19" t="str"/>
      <x:c r="F6" s="19" t="str">
        <x:v>SRC-PROT</x:v>
      </x:c>
      <x:c r="G6" s="19" t="str">
        <x:v>p.9</x:v>
      </x:c>
      <x:c r="H6" s="19" t="str">
        <x:v>Synopsis</x:v>
      </x:c>
      <x:c r="I6" s="19" t="str">
        <x:v>Clinical Trial Phase: Phase 1</x:v>
      </x:c>
      <x:c r="J6" s="19" t="str">
        <x:v>已确认</x:v>
      </x:c>
      <x:c r="K6" s="19" t="str">
        <x:v>医学</x:v>
      </x:c>
      <x:c r="L6" s="19" t="str">
        <x:v>项目级</x:v>
      </x:c>
      <x:c r="M6" s="19" t="str">
        <x:v>摘要/注册/ICF</x:v>
      </x:c>
      <x:c r="N6" s="19" t="str">
        <x:v>低</x:v>
      </x:c>
      <x:c r="O6" s="19" t="str"/>
    </x:row>
    <x:row r="7" ht="15" hidden="0" customHeight="1">
      <x:c r="A7" s="19" t="str">
        <x:v>F004</x:v>
      </x:c>
      <x:c r="B7" s="19" t="str">
        <x:v>人群</x:v>
      </x:c>
      <x:c r="C7" s="19" t="str">
        <x:v>研究人群</x:v>
      </x:c>
      <x:c r="D7" s="19" t="str">
        <x:v>健康男性和女性，19–55岁</x:v>
      </x:c>
      <x:c r="E7" s="19" t="str">
        <x:v>岁</x:v>
      </x:c>
      <x:c r="F7" s="19" t="str">
        <x:v>SRC-PROT</x:v>
      </x:c>
      <x:c r="G7" s="19" t="str">
        <x:v>p.9,p.21,p.24</x:v>
      </x:c>
      <x:c r="H7" s="19" t="str">
        <x:v>Synopsis; 3.1; 4.1</x:v>
      </x:c>
      <x:c r="I7" s="19" t="str">
        <x:v>健康志愿者，年龄19–55岁</x:v>
      </x:c>
      <x:c r="J7" s="19" t="str">
        <x:v>已确认</x:v>
      </x:c>
      <x:c r="K7" s="19" t="str">
        <x:v>医学</x:v>
      </x:c>
      <x:c r="L7" s="19" t="str">
        <x:v>项目级</x:v>
      </x:c>
      <x:c r="M7" s="19" t="str">
        <x:v>入排/ICF/注册</x:v>
      </x:c>
      <x:c r="N7" s="19" t="str">
        <x:v>中</x:v>
      </x:c>
      <x:c r="O7" s="19" t="str"/>
    </x:row>
    <x:row r="8" ht="26.399999618530273" hidden="0" customHeight="1">
      <x:c r="A8" s="19" t="str">
        <x:v>F005</x:v>
      </x:c>
      <x:c r="B8" s="19" t="str">
        <x:v>设计</x:v>
      </x:c>
      <x:c r="C8" s="19" t="str">
        <x:v>总体设计</x:v>
      </x:c>
      <x:c r="D8" s="19" t="str">
        <x:v>开放、随机、平衡、单次给药、四治疗、四周期、四序列 Williams square 交叉设计</x:v>
      </x:c>
      <x:c r="E8" s="19" t="str"/>
      <x:c r="F8" s="19" t="str">
        <x:v>SRC-PROT</x:v>
      </x:c>
      <x:c r="G8" s="19" t="str">
        <x:v>p.9,p.21</x:v>
      </x:c>
      <x:c r="H8" s="19" t="str">
        <x:v>Synopsis; 3.1</x:v>
      </x:c>
      <x:c r="I8" s="19" t="str">
        <x:v>四治疗四周期四序列交叉</x:v>
      </x:c>
      <x:c r="J8" s="19" t="str">
        <x:v>已确认</x:v>
      </x:c>
      <x:c r="K8" s="19" t="str">
        <x:v>统计</x:v>
      </x:c>
      <x:c r="L8" s="19" t="str">
        <x:v>项目级</x:v>
      </x:c>
      <x:c r="M8" s="19" t="str">
        <x:v>随机化/SoA/SAP/CRF</x:v>
      </x:c>
      <x:c r="N8" s="19" t="str">
        <x:v>高</x:v>
      </x:c>
      <x:c r="O8" s="19" t="str"/>
    </x:row>
    <x:row r="9" ht="15" hidden="0" customHeight="1">
      <x:c r="A9" s="19" t="str">
        <x:v>F006</x:v>
      </x:c>
      <x:c r="B9" s="19" t="str">
        <x:v>治疗</x:v>
      </x:c>
      <x:c r="C9" s="19" t="str">
        <x:v>治疗条件</x:v>
      </x:c>
      <x:c r="D9" s="19" t="str">
        <x:v>10 mg空腹；20 mg空腹；30 mg空腹；30 mg进食</x:v>
      </x:c>
      <x:c r="E9" s="19" t="str">
        <x:v>mg</x:v>
      </x:c>
      <x:c r="F9" s="19" t="str">
        <x:v>SRC-PROT</x:v>
      </x:c>
      <x:c r="G9" s="19" t="str">
        <x:v>p.10,p.21</x:v>
      </x:c>
      <x:c r="H9" s="19" t="str">
        <x:v>Synopsis; 3.1</x:v>
      </x:c>
      <x:c r="I9" s="19" t="str">
        <x:v>四种单剂量处理</x:v>
      </x:c>
      <x:c r="J9" s="19" t="str">
        <x:v>已确认</x:v>
      </x:c>
      <x:c r="K9" s="19" t="str">
        <x:v>医学/临床药理</x:v>
      </x:c>
      <x:c r="L9" s="19" t="str">
        <x:v>项目级</x:v>
      </x:c>
      <x:c r="M9" s="19" t="str">
        <x:v>给药/随机化/CRF/SAP</x:v>
      </x:c>
      <x:c r="N9" s="19" t="str">
        <x:v>高</x:v>
      </x:c>
      <x:c r="O9" s="19" t="str"/>
    </x:row>
    <x:row r="10" ht="15" hidden="0" customHeight="1">
      <x:c r="A10" s="19" t="str">
        <x:v>F007</x:v>
      </x:c>
      <x:c r="B10" s="19" t="str">
        <x:v>时间</x:v>
      </x:c>
      <x:c r="C10" s="19" t="str">
        <x:v>给药日</x:v>
      </x:c>
      <x:c r="D10" s="19" t="str">
        <x:v>Day 1、4、7、10</x:v>
      </x:c>
      <x:c r="E10" s="19" t="str">
        <x:v>day</x:v>
      </x:c>
      <x:c r="F10" s="19" t="str">
        <x:v>SRC-PROT</x:v>
      </x:c>
      <x:c r="G10" s="19" t="str">
        <x:v>p.10,p.22</x:v>
      </x:c>
      <x:c r="H10" s="19" t="str">
        <x:v>Synopsis; 3.1</x:v>
      </x:c>
      <x:c r="I10" s="19" t="str">
        <x:v>四个处理周期的顺序给药日</x:v>
      </x:c>
      <x:c r="J10" s="19" t="str">
        <x:v>已确认</x:v>
      </x:c>
      <x:c r="K10" s="19" t="str">
        <x:v>临床运营</x:v>
      </x:c>
      <x:c r="L10" s="19" t="str">
        <x:v>Protocol时间轴</x:v>
      </x:c>
      <x:c r="M10" s="19" t="str">
        <x:v>SoA/CRF/SAP</x:v>
      </x:c>
      <x:c r="N10" s="19" t="str">
        <x:v>高</x:v>
      </x:c>
      <x:c r="O10" s="19" t="str"/>
    </x:row>
    <x:row r="11" ht="15" hidden="0" customHeight="1">
      <x:c r="A11" s="19" t="str">
        <x:v>F008</x:v>
      </x:c>
      <x:c r="B11" s="19" t="str">
        <x:v>时间</x:v>
      </x:c>
      <x:c r="C11" s="19" t="str">
        <x:v>筛选窗口</x:v>
      </x:c>
      <x:c r="D11" s="19" t="str">
        <x:v>≤30天（Protocol）；ICF表述为最多31天</x:v>
      </x:c>
      <x:c r="E11" s="19" t="str">
        <x:v>day</x:v>
      </x:c>
      <x:c r="F11" s="19" t="str">
        <x:v>SRC-PROT/SRC-ICF</x:v>
      </x:c>
      <x:c r="G11" s="19" t="str">
        <x:v>p.16/p.3</x:v>
      </x:c>
      <x:c r="H11" s="19" t="str">
        <x:v>6.1 / ICF §3</x:v>
      </x:c>
      <x:c r="I11" s="19" t="str">
        <x:v>存在1天表述差异</x:v>
      </x:c>
      <x:c r="J11" s="19" t="str">
        <x:v>存在冲突</x:v>
      </x:c>
      <x:c r="K11" s="19" t="str">
        <x:v>临床运营/伦理</x:v>
      </x:c>
      <x:c r="L11" s="19" t="str">
        <x:v>Protocol–ICF</x:v>
      </x:c>
      <x:c r="M11" s="19" t="str">
        <x:v>ICF/招募材料/SoA</x:v>
      </x:c>
      <x:c r="N11" s="19" t="str">
        <x:v>中</x:v>
      </x:c>
      <x:c r="O11" s="19" t="str">
        <x:v>需人工判断是否为计数口径差异</x:v>
      </x:c>
    </x:row>
    <x:row r="12" ht="26.399999618530273" hidden="0" customHeight="1">
      <x:c r="A12" s="19" t="str">
        <x:v>F009</x:v>
      </x:c>
      <x:c r="B12" s="19" t="str">
        <x:v>时间</x:v>
      </x:c>
      <x:c r="C12" s="19" t="str">
        <x:v>住院/研究时长</x:v>
      </x:c>
      <x:c r="D12" s="19" t="str">
        <x:v>Protocol/SAP：on study 11 days；ICF：约12天住院</x:v>
      </x:c>
      <x:c r="E12" s="19" t="str">
        <x:v>day</x:v>
      </x:c>
      <x:c r="F12" s="19" t="str">
        <x:v>SRC-PROT/SRC-SAP/SRC-ICF</x:v>
      </x:c>
      <x:c r="G12" s="19" t="str">
        <x:v>p.10/p.6/p.3</x:v>
      </x:c>
      <x:c r="H12" s="19" t="str">
        <x:v>Synopsis / Design / ICF §3</x:v>
      </x:c>
      <x:c r="I12" s="19" t="str">
        <x:v>11天与12天表述不一致</x:v>
      </x:c>
      <x:c r="J12" s="19" t="str">
        <x:v>存在冲突</x:v>
      </x:c>
      <x:c r="K12" s="19" t="str">
        <x:v>临床运营/伦理</x:v>
      </x:c>
      <x:c r="L12" s="19" t="str">
        <x:v>跨文档</x:v>
      </x:c>
      <x:c r="M12" s="19" t="str">
        <x:v>ICF/SoA/受试者补偿</x:v>
      </x:c>
      <x:c r="N12" s="19" t="str">
        <x:v>高</x:v>
      </x:c>
      <x:c r="O12" s="19" t="str"/>
    </x:row>
    <x:row r="13" ht="15" hidden="0" customHeight="1">
      <x:c r="A13" s="19" t="str">
        <x:v>F010</x:v>
      </x:c>
      <x:c r="B13" s="19" t="str">
        <x:v>样本量</x:v>
      </x:c>
      <x:c r="C13" s="19" t="str">
        <x:v>计划随机人数上限</x:v>
      </x:c>
      <x:c r="D13" s="19" t="str">
        <x:v>32</x:v>
      </x:c>
      <x:c r="E13" s="19" t="str">
        <x:v>subjects</x:v>
      </x:c>
      <x:c r="F13" s="19" t="str">
        <x:v>SRC-PROT</x:v>
      </x:c>
      <x:c r="G13" s="19" t="str">
        <x:v>p.10,p.21</x:v>
      </x:c>
      <x:c r="H13" s="19" t="str">
        <x:v>Synopsis; 3.1</x:v>
      </x:c>
      <x:c r="I13" s="19" t="str">
        <x:v>为获得24例完整PK，可最多随机32例</x:v>
      </x:c>
      <x:c r="J13" s="19" t="str">
        <x:v>已确认</x:v>
      </x:c>
      <x:c r="K13" s="19" t="str">
        <x:v>统计</x:v>
      </x:c>
      <x:c r="L13" s="19" t="str">
        <x:v>计划事实</x:v>
      </x:c>
      <x:c r="M13" s="19" t="str">
        <x:v>ICF/注册/招募</x:v>
      </x:c>
      <x:c r="N13" s="19" t="str">
        <x:v>高</x:v>
      </x:c>
      <x:c r="O13" s="19" t="str"/>
    </x:row>
    <x:row r="14" ht="15" hidden="0" customHeight="1">
      <x:c r="A14" s="19" t="str">
        <x:v>F011</x:v>
      </x:c>
      <x:c r="B14" s="19" t="str">
        <x:v>样本量</x:v>
      </x:c>
      <x:c r="C14" s="19" t="str">
        <x:v>目标可评价/PP人数</x:v>
      </x:c>
      <x:c r="D14" s="19" t="str">
        <x:v>24</x:v>
      </x:c>
      <x:c r="E14" s="19" t="str">
        <x:v>subjects</x:v>
      </x:c>
      <x:c r="F14" s="19" t="str">
        <x:v>SRC-PROT/SRC-SAP</x:v>
      </x:c>
      <x:c r="G14" s="19" t="str">
        <x:v>p.10,p.6</x:v>
      </x:c>
      <x:c r="H14" s="19" t="str">
        <x:v>Synopsis; SAP 3-4</x:v>
      </x:c>
      <x:c r="I14" s="19" t="str">
        <x:v>每个处理期有PK反应的目标样本24</x:v>
      </x:c>
      <x:c r="J14" s="19" t="str">
        <x:v>已确认</x:v>
      </x:c>
      <x:c r="K14" s="19" t="str">
        <x:v>统计</x:v>
      </x:c>
      <x:c r="L14" s="19" t="str">
        <x:v>计划事实</x:v>
      </x:c>
      <x:c r="M14" s="19" t="str">
        <x:v>SAP/功效/结果</x:v>
      </x:c>
      <x:c r="N14" s="19" t="str">
        <x:v>高</x:v>
      </x:c>
      <x:c r="O14" s="19" t="str"/>
    </x:row>
    <x:row r="15" ht="15" hidden="0" customHeight="1">
      <x:c r="A15" s="19" t="str">
        <x:v>F012</x:v>
      </x:c>
      <x:c r="B15" s="19" t="str">
        <x:v>样本量</x:v>
      </x:c>
      <x:c r="C15" s="19" t="str">
        <x:v>实际入组</x:v>
      </x:c>
      <x:c r="D15" s="19" t="str">
        <x:v>24</x:v>
      </x:c>
      <x:c r="E15" s="19" t="str">
        <x:v>subjects</x:v>
      </x:c>
      <x:c r="F15" s="19" t="str">
        <x:v>SRC-RES</x:v>
      </x:c>
      <x:c r="G15" s="19" t="str">
        <x:v>网页</x:v>
      </x:c>
      <x:c r="H15" s="19" t="str">
        <x:v>Results Overview</x:v>
      </x:c>
      <x:c r="I15" s="19" t="str">
        <x:v>Enrollment (Actual) 24</x:v>
      </x:c>
      <x:c r="J15" s="19" t="str">
        <x:v>已确认</x:v>
      </x:c>
      <x:c r="K15" s="19" t="str">
        <x:v>数据管理/统计</x:v>
      </x:c>
      <x:c r="L15" s="19" t="str">
        <x:v>结果事实</x:v>
      </x:c>
      <x:c r="M15" s="19" t="str">
        <x:v>结果/CSR</x:v>
      </x:c>
      <x:c r="N15" s="19" t="str">
        <x:v>中</x:v>
      </x:c>
      <x:c r="O15" s="19" t="str">
        <x:v>不得覆盖F010/F011的计划语义</x:v>
      </x:c>
    </x:row>
    <x:row r="16" ht="15" hidden="0" customHeight="1">
      <x:c r="A16" s="19" t="str">
        <x:v>F013</x:v>
      </x:c>
      <x:c r="B16" s="19" t="str">
        <x:v>目标</x:v>
      </x:c>
      <x:c r="C16" s="19" t="str">
        <x:v>主要目标</x:v>
      </x:c>
      <x:c r="D16" s="19" t="str">
        <x:v>剂量比例性；30 mg食物效应；安全性和耐受性</x:v>
      </x:c>
      <x:c r="E16" s="19" t="str"/>
      <x:c r="F16" s="19" t="str">
        <x:v>SRC-PROT/SRC-SAP</x:v>
      </x:c>
      <x:c r="G16" s="19" t="str">
        <x:v>p.9/p.5</x:v>
      </x:c>
      <x:c r="H16" s="19" t="str">
        <x:v>Synopsis; SAP 2.1</x:v>
      </x:c>
      <x:c r="I16" s="19" t="str">
        <x:v>三项主要目标</x:v>
      </x:c>
      <x:c r="J16" s="19" t="str">
        <x:v>已确认</x:v>
      </x:c>
      <x:c r="K16" s="19" t="str">
        <x:v>医学/统计</x:v>
      </x:c>
      <x:c r="L16" s="19" t="str">
        <x:v>项目级</x:v>
      </x:c>
      <x:c r="M16" s="19" t="str">
        <x:v>Endpoints/SAP/ICF/结果</x:v>
      </x:c>
      <x:c r="N16" s="19" t="str">
        <x:v>高</x:v>
      </x:c>
      <x:c r="O16" s="19" t="str"/>
    </x:row>
    <x:row r="17" ht="39.599998474121094" hidden="0" customHeight="1">
      <x:c r="A17" s="19" t="str">
        <x:v>F014</x:v>
      </x:c>
      <x:c r="B17" s="19" t="str">
        <x:v>终点</x:v>
      </x:c>
      <x:c r="C17" s="19" t="str">
        <x:v>关键PK终点</x:v>
      </x:c>
      <x:c r="D17" s="19" t="str">
        <x:v>M1 AUC0-inf（适用时AUC0-t）和Cmax；并计算T1/2、Tmax、Tlag等</x:v>
      </x:c>
      <x:c r="E17" s="19" t="str"/>
      <x:c r="F17" s="19" t="str">
        <x:v>SRC-PROT</x:v>
      </x:c>
      <x:c r="G17" s="19" t="str">
        <x:v>p.11,p.21,p.37</x:v>
      </x:c>
      <x:c r="H17" s="19" t="str">
        <x:v>Synopsis; 1.3.4; 9.5.1</x:v>
      </x:c>
      <x:c r="I17" s="19" t="str">
        <x:v>剂量比例性与食物效应关键响应为AUC和Cmax</x:v>
      </x:c>
      <x:c r="J17" s="19" t="str">
        <x:v>已确认</x:v>
      </x:c>
      <x:c r="K17" s="19" t="str">
        <x:v>临床药理/统计</x:v>
      </x:c>
      <x:c r="L17" s="19" t="str">
        <x:v>项目级</x:v>
      </x:c>
      <x:c r="M17" s="19" t="str">
        <x:v>SAP/结果/CRF</x:v>
      </x:c>
      <x:c r="N17" s="19" t="str">
        <x:v>高</x:v>
      </x:c>
      <x:c r="O17" s="19" t="str"/>
    </x:row>
    <x:row r="18" ht="15" hidden="0" customHeight="1">
      <x:c r="A18" s="19" t="str">
        <x:v>F015</x:v>
      </x:c>
      <x:c r="B18" s="19" t="str">
        <x:v>采样</x:v>
      </x:c>
      <x:c r="C18" s="19" t="str">
        <x:v>PK采血时间</x:v>
      </x:c>
      <x:c r="D18" s="19" t="str">
        <x:v>0, 0.5, 1, 1.5, 2, 2.5, 3, 3.5, 4, 6, 8, 12, 16, 24, 32 h</x:v>
      </x:c>
      <x:c r="E18" s="19" t="str">
        <x:v>h</x:v>
      </x:c>
      <x:c r="F18" s="19" t="str">
        <x:v>SRC-PROT</x:v>
      </x:c>
      <x:c r="G18" s="19" t="str">
        <x:v>p.10,p.22</x:v>
      </x:c>
      <x:c r="H18" s="19" t="str">
        <x:v>Synopsis; 3.1</x:v>
      </x:c>
      <x:c r="I18" s="19" t="str">
        <x:v>每次给药后15个时间点（含0 h）</x:v>
      </x:c>
      <x:c r="J18" s="19" t="str">
        <x:v>已确认</x:v>
      </x:c>
      <x:c r="K18" s="19" t="str">
        <x:v>临床药理/运营</x:v>
      </x:c>
      <x:c r="L18" s="19" t="str">
        <x:v>每处理期</x:v>
      </x:c>
      <x:c r="M18" s="19" t="str">
        <x:v>SoA/CRF/SAP/ICF</x:v>
      </x:c>
      <x:c r="N18" s="19" t="str">
        <x:v>高</x:v>
      </x:c>
      <x:c r="O18" s="19" t="str">
        <x:v>合成变更将32 h改为36 h</x:v>
      </x:c>
    </x:row>
    <x:row r="19" ht="15" hidden="0" customHeight="1">
      <x:c r="A19" s="19" t="str">
        <x:v>F016</x:v>
      </x:c>
      <x:c r="B19" s="19" t="str">
        <x:v>饮食</x:v>
      </x:c>
      <x:c r="C19" s="19" t="str">
        <x:v>空腹要求</x:v>
      </x:c>
      <x:c r="D19" s="19" t="str">
        <x:v>给药前至少10 h，给药后至少4 h</x:v>
      </x:c>
      <x:c r="E19" s="19" t="str">
        <x:v>h</x:v>
      </x:c>
      <x:c r="F19" s="19" t="str">
        <x:v>SRC-PROT</x:v>
      </x:c>
      <x:c r="G19" s="19" t="str">
        <x:v>p.10,p.22,p.28</x:v>
      </x:c>
      <x:c r="H19" s="19" t="str">
        <x:v>Synopsis; 3.1; 6.2-6.5</x:v>
      </x:c>
      <x:c r="I19" s="19" t="str">
        <x:v>统一空腹要求</x:v>
      </x:c>
      <x:c r="J19" s="19" t="str">
        <x:v>已确认</x:v>
      </x:c>
      <x:c r="K19" s="19" t="str">
        <x:v>临床运营</x:v>
      </x:c>
      <x:c r="L19" s="19" t="str">
        <x:v>处理期</x:v>
      </x:c>
      <x:c r="M19" s="19" t="str">
        <x:v>ICF/SoA/CRF</x:v>
      </x:c>
      <x:c r="N19" s="19" t="str">
        <x:v>中</x:v>
      </x:c>
      <x:c r="O19" s="19" t="str"/>
    </x:row>
    <x:row r="20" ht="15" hidden="0" customHeight="1">
      <x:c r="A20" s="19" t="str">
        <x:v>F017</x:v>
      </x:c>
      <x:c r="B20" s="19" t="str">
        <x:v>饮食</x:v>
      </x:c>
      <x:c r="C20" s="19" t="str">
        <x:v>进食处理</x:v>
      </x:c>
      <x:c r="D20" s="19" t="str">
        <x:v>高脂高热量早餐，在给药约30 min前开始并于20 min内吃完</x:v>
      </x:c>
      <x:c r="E20" s="19" t="str">
        <x:v>min</x:v>
      </x:c>
      <x:c r="F20" s="19" t="str">
        <x:v>SRC-PROT</x:v>
      </x:c>
      <x:c r="G20" s="19" t="str">
        <x:v>p.10,p.21</x:v>
      </x:c>
      <x:c r="H20" s="19" t="str">
        <x:v>Synopsis; 3.1</x:v>
      </x:c>
      <x:c r="I20" s="19" t="str">
        <x:v>30 mg fed treatment</x:v>
      </x:c>
      <x:c r="J20" s="19" t="str">
        <x:v>已确认</x:v>
      </x:c>
      <x:c r="K20" s="19" t="str">
        <x:v>临床运营</x:v>
      </x:c>
      <x:c r="L20" s="19" t="str">
        <x:v>Treatment A</x:v>
      </x:c>
      <x:c r="M20" s="19" t="str">
        <x:v>ICF/CRF/SAP</x:v>
      </x:c>
      <x:c r="N20" s="19" t="str">
        <x:v>中</x:v>
      </x:c>
      <x:c r="O20" s="19" t="str"/>
    </x:row>
    <x:row r="21" ht="26.399999618530273" hidden="0" customHeight="1">
      <x:c r="A21" s="19" t="str">
        <x:v>F018</x:v>
      </x:c>
      <x:c r="B21" s="19" t="str">
        <x:v>饮水</x:v>
      </x:c>
      <x:c r="C21" s="19" t="str">
        <x:v>给药前后1 h饮水限制</x:v>
      </x:c>
      <x:c r="D21" s="19" t="str">
        <x:v>Synopsis写“No water allowed”；正文写“diet limited to water only/Only water is allowed”</x:v>
      </x:c>
      <x:c r="E21" s="19" t="str"/>
      <x:c r="F21" s="19" t="str">
        <x:v>SRC-PROT</x:v>
      </x:c>
      <x:c r="G21" s="19" t="str">
        <x:v>p.10,p.22,p.28</x:v>
      </x:c>
      <x:c r="H21" s="19" t="str">
        <x:v>Synopsis vs 3.1/6.2-6.5</x:v>
      </x:c>
      <x:c r="I21" s="19" t="str">
        <x:v>同一Protocol内部指令相反</x:v>
      </x:c>
      <x:c r="J21" s="19" t="str">
        <x:v>存在冲突</x:v>
      </x:c>
      <x:c r="K21" s="19" t="str">
        <x:v>临床运营/医学</x:v>
      </x:c>
      <x:c r="L21" s="19" t="str">
        <x:v>单文档</x:v>
      </x:c>
      <x:c r="M21" s="19" t="str">
        <x:v>ICF/现场手册/偏差规则</x:v>
      </x:c>
      <x:c r="N21" s="19" t="str">
        <x:v>高</x:v>
      </x:c>
      <x:c r="O21" s="19" t="str">
        <x:v>原型应判定为硬冲突</x:v>
      </x:c>
    </x:row>
    <x:row r="22" ht="15" hidden="0" customHeight="1">
      <x:c r="A22" s="19" t="str">
        <x:v>F019</x:v>
      </x:c>
      <x:c r="B22" s="19" t="str">
        <x:v>分析人群</x:v>
      </x:c>
      <x:c r="C22" s="19" t="str">
        <x:v>Safety population</x:v>
      </x:c>
      <x:c r="D22" s="19" t="str">
        <x:v>Protocol：随机且接受研究药；SAP：至少接受1剂</x:v>
      </x:c>
      <x:c r="E22" s="19" t="str"/>
      <x:c r="F22" s="19" t="str">
        <x:v>SRC-PROT/SRC-SAP</x:v>
      </x:c>
      <x:c r="G22" s="19" t="str">
        <x:v>p.23,p.35/p.7</x:v>
      </x:c>
      <x:c r="H22" s="19" t="str">
        <x:v>4.0; 9.2.1 / SAP 4.1</x:v>
      </x:c>
      <x:c r="I22" s="19" t="str">
        <x:v>定义实质接近但措辞和随机条件需规范化</x:v>
      </x:c>
      <x:c r="J22" s="19" t="str">
        <x:v>待确认</x:v>
      </x:c>
      <x:c r="K22" s="19" t="str">
        <x:v>统计</x:v>
      </x:c>
      <x:c r="L22" s="19" t="str">
        <x:v>跨文档</x:v>
      </x:c>
      <x:c r="M22" s="19" t="str">
        <x:v>安全表/结果</x:v>
      </x:c>
      <x:c r="N22" s="19" t="str">
        <x:v>中</x:v>
      </x:c>
      <x:c r="O22" s="19" t="str">
        <x:v>建议映射为同义定义并保留原文</x:v>
      </x:c>
    </x:row>
    <x:row r="23" ht="26.399999618530273" hidden="0" customHeight="1">
      <x:c r="A23" s="19" t="str">
        <x:v>F020</x:v>
      </x:c>
      <x:c r="B23" s="19" t="str">
        <x:v>分析人群</x:v>
      </x:c>
      <x:c r="C23" s="19" t="str">
        <x:v>Per-protocol population</x:v>
      </x:c>
      <x:c r="D23" s="19" t="str">
        <x:v>符合入排、完成Day 11、接受4剂、每剂至少提供13/15个PK样本</x:v>
      </x:c>
      <x:c r="E23" s="19" t="str"/>
      <x:c r="F23" s="19" t="str">
        <x:v>SRC-PROT/SRC-SAP</x:v>
      </x:c>
      <x:c r="G23" s="19" t="str">
        <x:v>p.35/p.7</x:v>
      </x:c>
      <x:c r="H23" s="19" t="str">
        <x:v>9.2.1 / SAP 4.1</x:v>
      </x:c>
      <x:c r="I23" s="19" t="str">
        <x:v>PP定义</x:v>
      </x:c>
      <x:c r="J23" s="19" t="str">
        <x:v>已确认</x:v>
      </x:c>
      <x:c r="K23" s="19" t="str">
        <x:v>统计</x:v>
      </x:c>
      <x:c r="L23" s="19" t="str">
        <x:v>分析级</x:v>
      </x:c>
      <x:c r="M23" s="19" t="str">
        <x:v>SAP/TFL/CSR</x:v>
      </x:c>
      <x:c r="N23" s="19" t="str">
        <x:v>高</x:v>
      </x:c>
      <x:c r="O23" s="19" t="str"/>
    </x:row>
    <x:row r="24" ht="26.399999618530273" hidden="0" customHeight="1">
      <x:c r="A24" s="19" t="str">
        <x:v>F021</x:v>
      </x:c>
      <x:c r="B24" s="19" t="str">
        <x:v>分析人群</x:v>
      </x:c>
      <x:c r="C24" s="19" t="str">
        <x:v>Evaluable population</x:v>
      </x:c>
      <x:c r="D24" s="19" t="str">
        <x:v>至少一个AUC0-inf/AUC0-t或Cmax可计算；Protocol称剂量比例性/食物效应用该人群</x:v>
      </x:c>
      <x:c r="E24" s="19" t="str"/>
      <x:c r="F24" s="19" t="str">
        <x:v>SRC-PROT</x:v>
      </x:c>
      <x:c r="G24" s="19" t="str">
        <x:v>p.35,p.37</x:v>
      </x:c>
      <x:c r="H24" s="19" t="str">
        <x:v>9.2.1; 9.5.1</x:v>
      </x:c>
      <x:c r="I24" s="19" t="str">
        <x:v>SAP仅描述Safety和PP，需确认evaluable与PP映射</x:v>
      </x:c>
      <x:c r="J24" s="19" t="str">
        <x:v>待确认</x:v>
      </x:c>
      <x:c r="K24" s="19" t="str">
        <x:v>统计</x:v>
      </x:c>
      <x:c r="L24" s="19" t="str">
        <x:v>跨文档</x:v>
      </x:c>
      <x:c r="M24" s="19" t="str">
        <x:v>SAP/结果</x:v>
      </x:c>
      <x:c r="N24" s="19" t="str">
        <x:v>高</x:v>
      </x:c>
      <x:c r="O24" s="19" t="str">
        <x:v>潜在术语漂移</x:v>
      </x:c>
    </x:row>
    <x:row r="25" ht="15" hidden="0" customHeight="1">
      <x:c r="A25" s="19" t="str">
        <x:v>F022</x:v>
      </x:c>
      <x:c r="B25" s="19" t="str">
        <x:v>时间模型</x:v>
      </x:c>
      <x:c r="C25" s="19" t="str">
        <x:v>Protocol时间轴</x:v>
      </x:c>
      <x:c r="D25" s="19" t="str">
        <x:v>全研究连续Day -1、1–11</x:v>
      </x:c>
      <x:c r="E25" s="19" t="str"/>
      <x:c r="F25" s="19" t="str">
        <x:v>SRC-PROT</x:v>
      </x:c>
      <x:c r="G25" s="19" t="str">
        <x:v>p.22,p.45</x:v>
      </x:c>
      <x:c r="H25" s="19" t="str">
        <x:v>3.1; SoA</x:v>
      </x:c>
      <x:c r="I25" s="19" t="str">
        <x:v>连续日模型</x:v>
      </x:c>
      <x:c r="J25" s="19" t="str">
        <x:v>已确认</x:v>
      </x:c>
      <x:c r="K25" s="19" t="str">
        <x:v>临床运营</x:v>
      </x:c>
      <x:c r="L25" s="19" t="str">
        <x:v>Protocol</x:v>
      </x:c>
      <x:c r="M25" s="19" t="str">
        <x:v>SoA/ICF</x:v>
      </x:c>
      <x:c r="N25" s="19" t="str">
        <x:v>高</x:v>
      </x:c>
      <x:c r="O25" s="19" t="str"/>
    </x:row>
    <x:row r="26" ht="15" hidden="0" customHeight="1">
      <x:c r="A26" s="19" t="str">
        <x:v>F023</x:v>
      </x:c>
      <x:c r="B26" s="19" t="str">
        <x:v>时间模型</x:v>
      </x:c>
      <x:c r="C26" s="19" t="str">
        <x:v>CRF时间轴</x:v>
      </x:c>
      <x:c r="D26" s="19" t="str">
        <x:v>四个Period；每次给药均记录为该Period的Day 1</x:v>
      </x:c>
      <x:c r="E26" s="19" t="str"/>
      <x:c r="F26" s="19" t="str">
        <x:v>SRC-SAP</x:v>
      </x:c>
      <x:c r="G26" s="19" t="str">
        <x:v>p.7,p.13</x:v>
      </x:c>
      <x:c r="H26" s="19" t="str">
        <x:v>Design; Section 16 note</x:v>
      </x:c>
      <x:c r="I26" s="19" t="str">
        <x:v>SAP明确指出CRF采用period/day模型</x:v>
      </x:c>
      <x:c r="J26" s="19" t="str">
        <x:v>已确认</x:v>
      </x:c>
      <x:c r="K26" s="19" t="str">
        <x:v>数据管理</x:v>
      </x:c>
      <x:c r="L26" s="19" t="str">
        <x:v>CRF/SAP</x:v>
      </x:c>
      <x:c r="M26" s="19" t="str">
        <x:v>CRF/TFL/数据映射</x:v>
      </x:c>
      <x:c r="N26" s="19" t="str">
        <x:v>高</x:v>
      </x:c>
      <x:c r="O26" s="19" t="str"/>
    </x:row>
    <x:row r="27" ht="15" hidden="0" customHeight="1">
      <x:c r="A27" s="19" t="str">
        <x:v>F024</x:v>
      </x:c>
      <x:c r="B27" s="19" t="str">
        <x:v>统计</x:v>
      </x:c>
      <x:c r="C27" s="19" t="str">
        <x:v>中期分析</x:v>
      </x:c>
      <x:c r="D27" s="19" t="str">
        <x:v>不执行中期分析</x:v>
      </x:c>
      <x:c r="E27" s="19" t="str"/>
      <x:c r="F27" s="19" t="str">
        <x:v>SRC-SAP</x:v>
      </x:c>
      <x:c r="G27" s="19" t="str">
        <x:v>p.7</x:v>
      </x:c>
      <x:c r="H27" s="19" t="str">
        <x:v>4.2</x:v>
      </x:c>
      <x:c r="I27" s="19" t="str">
        <x:v>Celerion Biometrics will not perform interim analyses</x:v>
      </x:c>
      <x:c r="J27" s="19" t="str">
        <x:v>已确认</x:v>
      </x:c>
      <x:c r="K27" s="19" t="str">
        <x:v>统计</x:v>
      </x:c>
      <x:c r="L27" s="19" t="str">
        <x:v>项目级</x:v>
      </x:c>
      <x:c r="M27" s="19" t="str">
        <x:v>SAP/CSR</x:v>
      </x:c>
      <x:c r="N27" s="19" t="str">
        <x:v>中</x:v>
      </x:c>
      <x:c r="O27" s="19" t="str"/>
    </x:row>
    <x:row r="28" ht="15" hidden="0" customHeight="1">
      <x:c r="A28" s="19" t="str">
        <x:v>F025</x:v>
      </x:c>
      <x:c r="B28" s="19" t="str">
        <x:v>统计</x:v>
      </x:c>
      <x:c r="C28" s="19" t="str">
        <x:v>功效与样本量</x:v>
      </x:c>
      <x:c r="D28" s="19" t="str">
        <x:v>24例在20%个体内CV、5%显著性水平下约89.6%功效</x:v>
      </x:c>
      <x:c r="E28" s="19" t="str">
        <x:v>%</x:v>
      </x:c>
      <x:c r="F28" s="19" t="str">
        <x:v>SRC-PROT</x:v>
      </x:c>
      <x:c r="G28" s="19" t="str">
        <x:v>p.11,p.39</x:v>
      </x:c>
      <x:c r="H28" s="19" t="str">
        <x:v>Synopsis; 9.7</x:v>
      </x:c>
      <x:c r="I28" s="19" t="str">
        <x:v>样本量依据</x:v>
      </x:c>
      <x:c r="J28" s="19" t="str">
        <x:v>已确认</x:v>
      </x:c>
      <x:c r="K28" s="19" t="str">
        <x:v>统计</x:v>
      </x:c>
      <x:c r="L28" s="19" t="str">
        <x:v>计划事实</x:v>
      </x:c>
      <x:c r="M28" s="19" t="str">
        <x:v>SAP/方案摘要</x:v>
      </x:c>
      <x:c r="N28" s="19" t="str">
        <x:v>高</x:v>
      </x:c>
      <x:c r="O28" s="19" t="str"/>
    </x:row>
    <x:row r="29" ht="26.399999618530273" hidden="0" customHeight="1">
      <x:c r="A29" s="19" t="str">
        <x:v>F026</x:v>
      </x:c>
      <x:c r="B29" s="19" t="str">
        <x:v>结果</x:v>
      </x:c>
      <x:c r="C29" s="19" t="str">
        <x:v>各处理分析人数</x:v>
      </x:c>
      <x:c r="D29" s="19" t="str">
        <x:v>10 mg fasted 24；20 mg fasted 23；30 mg fasted 23；30 mg fed 23</x:v>
      </x:c>
      <x:c r="E29" s="19" t="str">
        <x:v>subjects</x:v>
      </x:c>
      <x:c r="F29" s="19" t="str">
        <x:v>SRC-RES</x:v>
      </x:c>
      <x:c r="G29" s="19" t="str">
        <x:v>网页</x:v>
      </x:c>
      <x:c r="H29" s="19" t="str">
        <x:v>Outcome Measures</x:v>
      </x:c>
      <x:c r="I29" s="19" t="str">
        <x:v>实际分析人数</x:v>
      </x:c>
      <x:c r="J29" s="19" t="str">
        <x:v>已确认</x:v>
      </x:c>
      <x:c r="K29" s="19" t="str">
        <x:v>统计</x:v>
      </x:c>
      <x:c r="L29" s="19" t="str">
        <x:v>结果事实</x:v>
      </x:c>
      <x:c r="M29" s="19" t="str">
        <x:v>结果/CSR</x:v>
      </x:c>
      <x:c r="N29" s="19" t="str">
        <x:v>中</x:v>
      </x:c>
      <x:c r="O29" s="19" t="str"/>
    </x:row>
    <x:row r="30" ht="15" hidden="0" customHeight="1">
      <x:c r="A30" s="19" t="str">
        <x:v>F027</x:v>
      </x:c>
      <x:c r="B30" s="19" t="str">
        <x:v>状态</x:v>
      </x:c>
      <x:c r="C30" s="19" t="str">
        <x:v>研究状态</x:v>
      </x:c>
      <x:c r="D30" s="19" t="str">
        <x:v>Completed</x:v>
      </x:c>
      <x:c r="E30" s="19" t="str"/>
      <x:c r="F30" s="19" t="str">
        <x:v>SRC-REG/SRC-RES</x:v>
      </x:c>
      <x:c r="G30" s="19" t="str">
        <x:v>网页</x:v>
      </x:c>
      <x:c r="H30" s="19" t="str">
        <x:v>Study Status</x:v>
      </x:c>
      <x:c r="I30" s="19" t="str">
        <x:v>研究已完成并发布结果</x:v>
      </x:c>
      <x:c r="J30" s="19" t="str">
        <x:v>已确认</x:v>
      </x:c>
      <x:c r="K30" s="19" t="str">
        <x:v>项目负责人</x:v>
      </x:c>
      <x:c r="L30" s="19" t="str">
        <x:v>结果状态</x:v>
      </x:c>
      <x:c r="M30" s="19" t="str">
        <x:v>项目总览</x:v>
      </x:c>
      <x:c r="N30" s="19" t="str">
        <x:v>低</x:v>
      </x:c>
      <x:c r="O30" s="19" t="str"/>
    </x:row>
    <x:row r="31"/>
  </x:sheetData>
  <x:mergeCells>
    <x:mergeCell ref="A1:O1"/>
  </x:mergeCells>
  <x:conditionalFormatting sqref="J4:J30">
    <x:cfRule type="expression" dxfId="0" priority="1">
      <x:formula>J4="已确认"</x:formula>
    </x:cfRule>
    <x:cfRule type="expression" dxfId="1" priority="2">
      <x:formula>J4="存在冲突"</x:formula>
    </x:cfRule>
    <x:cfRule type="expression" dxfId="2" priority="3">
      <x:formula>J4="待确认"</x:formula>
    </x:cfRule>
  </x:conditionalFormatting>
  <x:dataValidations count="1">
    <x:dataValidation type="list" sqref="J4:J30">
      <x:formula1>"候选,待确认,已确认,已替代,存在冲突"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34" hidden="0" customWidth="1"/>
    <x:col min="5" max="5" width="18" hidden="0" customWidth="1"/>
    <x:col min="6" max="6" width="12" hidden="0" customWidth="1"/>
    <x:col min="7" max="7" width="34" hidden="0" customWidth="1"/>
    <x:col min="8" max="8" width="24" hidden="0" customWidth="1"/>
    <x:col min="9" max="9" width="40" hidden="0" customWidth="1"/>
  </x:cols>
  <x:sheetData>
    <x:row r="1" ht="19.200000762939453" hidden="0" customHeight="1">
      <x:c r="A1" s="5" t="str">
        <x:v>事实—章节—表格—文件依赖图（人工基线）</x:v>
      </x:c>
      <x:c r="B1" s="5"/>
      <x:c r="C1" s="5"/>
      <x:c r="D1" s="5"/>
      <x:c r="E1" s="5"/>
      <x:c r="F1" s="5"/>
      <x:c r="G1" s="5"/>
      <x:c r="H1" s="5"/>
      <x:c r="I1" s="5"/>
    </x:row>
    <x:row r="2"/>
    <x:row r="3" ht="15" hidden="0" customHeight="1">
      <x:c r="A3" s="26" t="str">
        <x:v>Edge_ID</x:v>
      </x:c>
      <x:c r="B3" s="26" t="str">
        <x:v>Fact_ID</x:v>
      </x:c>
      <x:c r="C3" s="26" t="str">
        <x:v>受影响对象类型</x:v>
      </x:c>
      <x:c r="D3" s="26" t="str">
        <x:v>受影响对象</x:v>
      </x:c>
      <x:c r="E3" s="26" t="str">
        <x:v>依赖类型</x:v>
      </x:c>
      <x:c r="F3" s="26" t="str">
        <x:v>依赖强度</x:v>
      </x:c>
      <x:c r="G3" s="26" t="str">
        <x:v>变更时预期动作</x:v>
      </x:c>
      <x:c r="H3" s="26" t="str">
        <x:v>责任角色</x:v>
      </x:c>
      <x:c r="I3" s="26" t="str">
        <x:v>说明</x:v>
      </x:c>
    </x:row>
    <x:row r="4" ht="15" hidden="0" customHeight="1">
      <x:c r="A4" s="19" t="str">
        <x:v>E001</x:v>
      </x:c>
      <x:c r="B4" s="19" t="str">
        <x:v>F015</x:v>
      </x:c>
      <x:c r="C4" s="19" t="str">
        <x:v>Protocol</x:v>
      </x:c>
      <x:c r="D4" s="19" t="str">
        <x:v>Synopsis/3.1/Appendix A SoA</x:v>
      </x:c>
      <x:c r="E4" s="19" t="str">
        <x:v>直接引用</x:v>
      </x:c>
      <x:c r="F4" s="19" t="str">
        <x:v>强</x:v>
      </x:c>
      <x:c r="G4" s="19" t="str">
        <x:v>必须更新</x:v>
      </x:c>
      <x:c r="H4" s="19" t="str">
        <x:v>临床运营/临床药理</x:v>
      </x:c>
      <x:c r="I4" s="19" t="str">
        <x:v>PK时间点在多处重复</x:v>
      </x:c>
    </x:row>
    <x:row r="5" ht="15" hidden="0" customHeight="1">
      <x:c r="A5" s="19" t="str">
        <x:v>E002</x:v>
      </x:c>
      <x:c r="B5" s="19" t="str">
        <x:v>F015</x:v>
      </x:c>
      <x:c r="C5" s="19" t="str">
        <x:v>SAP</x:v>
      </x:c>
      <x:c r="D5" s="19" t="str">
        <x:v>PK analysis window / TFL specifications</x:v>
      </x:c>
      <x:c r="E5" s="19" t="str">
        <x:v>语义+计算</x:v>
      </x:c>
      <x:c r="F5" s="19" t="str">
        <x:v>强</x:v>
      </x:c>
      <x:c r="G5" s="19" t="str">
        <x:v>必须更新并重新验证</x:v>
      </x:c>
      <x:c r="H5" s="19" t="str">
        <x:v>统计/编程</x:v>
      </x:c>
      <x:c r="I5" s="19" t="str">
        <x:v>影响AUC计算窗口与listing</x:v>
      </x:c>
    </x:row>
    <x:row r="6" ht="15" hidden="0" customHeight="1">
      <x:c r="A6" s="19" t="str">
        <x:v>E003</x:v>
      </x:c>
      <x:c r="B6" s="19" t="str">
        <x:v>F015</x:v>
      </x:c>
      <x:c r="C6" s="19" t="str">
        <x:v>ICF</x:v>
      </x:c>
      <x:c r="D6" s="19" t="str">
        <x:v>采血流程和住院时长说明</x:v>
      </x:c>
      <x:c r="E6" s="19" t="str">
        <x:v>语义</x:v>
      </x:c>
      <x:c r="F6" s="19" t="str">
        <x:v>中</x:v>
      </x:c>
      <x:c r="G6" s="19" t="str">
        <x:v>很可能更新</x:v>
      </x:c>
      <x:c r="H6" s="19" t="str">
        <x:v>伦理/医学写作</x:v>
      </x:c>
      <x:c r="I6" s="19" t="str">
        <x:v>需评估是否改变受试者负担</x:v>
      </x:c>
    </x:row>
    <x:row r="7" ht="15" hidden="0" customHeight="1">
      <x:c r="A7" s="19" t="str">
        <x:v>E004</x:v>
      </x:c>
      <x:c r="B7" s="19" t="str">
        <x:v>F015</x:v>
      </x:c>
      <x:c r="C7" s="19" t="str">
        <x:v>Synthetic CRF</x:v>
      </x:c>
      <x:c r="D7" s="19" t="str">
        <x:v>PK sample collection form</x:v>
      </x:c>
      <x:c r="E7" s="19" t="str">
        <x:v>字段约束</x:v>
      </x:c>
      <x:c r="F7" s="19" t="str">
        <x:v>强</x:v>
      </x:c>
      <x:c r="G7" s="19" t="str">
        <x:v>必须更新</x:v>
      </x:c>
      <x:c r="H7" s="19" t="str">
        <x:v>数据管理</x:v>
      </x:c>
      <x:c r="I7" s="19" t="str">
        <x:v>更新允许时间点与缺失规则</x:v>
      </x:c>
    </x:row>
    <x:row r="8" ht="15" hidden="0" customHeight="1">
      <x:c r="A8" s="19" t="str">
        <x:v>E005</x:v>
      </x:c>
      <x:c r="B8" s="19" t="str">
        <x:v>F015</x:v>
      </x:c>
      <x:c r="C8" s="19" t="str">
        <x:v>Results registry</x:v>
      </x:c>
      <x:c r="D8" s="19" t="str">
        <x:v>Outcome time frame</x:v>
      </x:c>
      <x:c r="E8" s="19" t="str">
        <x:v>结果定义</x:v>
      </x:c>
      <x:c r="F8" s="19" t="str">
        <x:v>强</x:v>
      </x:c>
      <x:c r="G8" s="19" t="str">
        <x:v>结果发布前必须一致</x:v>
      </x:c>
      <x:c r="H8" s="19" t="str">
        <x:v>统计/注册</x:v>
      </x:c>
      <x:c r="I8" s="19" t="str">
        <x:v>原型阶段仅做影响提示</x:v>
      </x:c>
    </x:row>
    <x:row r="9" ht="15" hidden="0" customHeight="1">
      <x:c r="A9" s="19" t="str">
        <x:v>E006</x:v>
      </x:c>
      <x:c r="B9" s="19" t="str">
        <x:v>F010</x:v>
      </x:c>
      <x:c r="C9" s="19" t="str">
        <x:v>ICF</x:v>
      </x:c>
      <x:c r="D9" s="19" t="str">
        <x:v>Number of subjects</x:v>
      </x:c>
      <x:c r="E9" s="19" t="str">
        <x:v>直接引用</x:v>
      </x:c>
      <x:c r="F9" s="19" t="str">
        <x:v>强</x:v>
      </x:c>
      <x:c r="G9" s="19" t="str">
        <x:v>必须更新</x:v>
      </x:c>
      <x:c r="H9" s="19" t="str">
        <x:v>伦理/运营</x:v>
      </x:c>
      <x:c r="I9" s="19" t="str">
        <x:v>招募规模</x:v>
      </x:c>
    </x:row>
    <x:row r="10" ht="15" hidden="0" customHeight="1">
      <x:c r="A10" s="19" t="str">
        <x:v>E007</x:v>
      </x:c>
      <x:c r="B10" s="19" t="str">
        <x:v>F011</x:v>
      </x:c>
      <x:c r="C10" s="19" t="str">
        <x:v>SAP</x:v>
      </x:c>
      <x:c r="D10" s="19" t="str">
        <x:v>PP sample target / power</x:v>
      </x:c>
      <x:c r="E10" s="19" t="str">
        <x:v>计算依赖</x:v>
      </x:c>
      <x:c r="F10" s="19" t="str">
        <x:v>强</x:v>
      </x:c>
      <x:c r="G10" s="19" t="str">
        <x:v>必须更新</x:v>
      </x:c>
      <x:c r="H10" s="19" t="str">
        <x:v>统计</x:v>
      </x:c>
      <x:c r="I10" s="19" t="str">
        <x:v>功效和TFL</x:v>
      </x:c>
    </x:row>
    <x:row r="11" ht="15" hidden="0" customHeight="1">
      <x:c r="A11" s="19" t="str">
        <x:v>E008</x:v>
      </x:c>
      <x:c r="B11" s="19" t="str">
        <x:v>F005</x:v>
      </x:c>
      <x:c r="C11" s="19" t="str">
        <x:v>Randomization</x:v>
      </x:c>
      <x:c r="D11" s="19" t="str">
        <x:v>4×4 sequence table</x:v>
      </x:c>
      <x:c r="E11" s="19" t="str">
        <x:v>结构依赖</x:v>
      </x:c>
      <x:c r="F11" s="19" t="str">
        <x:v>强</x:v>
      </x:c>
      <x:c r="G11" s="19" t="str">
        <x:v>必须更新</x:v>
      </x:c>
      <x:c r="H11" s="19" t="str">
        <x:v>统计</x:v>
      </x:c>
      <x:c r="I11" s="19" t="str">
        <x:v>设计结构</x:v>
      </x:c>
    </x:row>
    <x:row r="12" ht="15" hidden="0" customHeight="1">
      <x:c r="A12" s="19" t="str">
        <x:v>E009</x:v>
      </x:c>
      <x:c r="B12" s="19" t="str">
        <x:v>F005</x:v>
      </x:c>
      <x:c r="C12" s="19" t="str">
        <x:v>Synthetic CRF</x:v>
      </x:c>
      <x:c r="D12" s="19" t="str">
        <x:v>Period/Treatment fields</x:v>
      </x:c>
      <x:c r="E12" s="19" t="str">
        <x:v>结构依赖</x:v>
      </x:c>
      <x:c r="F12" s="19" t="str">
        <x:v>强</x:v>
      </x:c>
      <x:c r="G12" s="19" t="str">
        <x:v>必须更新</x:v>
      </x:c>
      <x:c r="H12" s="19" t="str">
        <x:v>数据管理</x:v>
      </x:c>
      <x:c r="I12" s="19" t="str">
        <x:v>CRF时间轴</x:v>
      </x:c>
    </x:row>
    <x:row r="13" ht="15" hidden="0" customHeight="1">
      <x:c r="A13" s="19" t="str">
        <x:v>E010</x:v>
      </x:c>
      <x:c r="B13" s="19" t="str">
        <x:v>F009</x:v>
      </x:c>
      <x:c r="C13" s="19" t="str">
        <x:v>ICF</x:v>
      </x:c>
      <x:c r="D13" s="19" t="str">
        <x:v>Length of study/confinement</x:v>
      </x:c>
      <x:c r="E13" s="19" t="str">
        <x:v>直接引用</x:v>
      </x:c>
      <x:c r="F13" s="19" t="str">
        <x:v>强</x:v>
      </x:c>
      <x:c r="G13" s="19" t="str">
        <x:v>必须人工确认</x:v>
      </x:c>
      <x:c r="H13" s="19" t="str">
        <x:v>伦理/运营</x:v>
      </x:c>
      <x:c r="I13" s="19" t="str">
        <x:v>现有11 vs 12天差异</x:v>
      </x:c>
    </x:row>
    <x:row r="14" ht="15" hidden="0" customHeight="1">
      <x:c r="A14" s="19" t="str">
        <x:v>E011</x:v>
      </x:c>
      <x:c r="B14" s="19" t="str">
        <x:v>F022</x:v>
      </x:c>
      <x:c r="C14" s="19" t="str">
        <x:v>SAP/CRF mapping</x:v>
      </x:c>
      <x:c r="D14" s="19" t="str">
        <x:v>Sequential day mapping</x:v>
      </x:c>
      <x:c r="E14" s="19" t="str">
        <x:v>映射</x:v>
      </x:c>
      <x:c r="F14" s="19" t="str">
        <x:v>强</x:v>
      </x:c>
      <x:c r="G14" s="19" t="str">
        <x:v>必须维护转换规则</x:v>
      </x:c>
      <x:c r="H14" s="19" t="str">
        <x:v>数据管理/统计</x:v>
      </x:c>
      <x:c r="I14" s="19" t="str">
        <x:v>Protocol与CRF时间轴不同</x:v>
      </x:c>
    </x:row>
    <x:row r="15" ht="15" hidden="0" customHeight="1">
      <x:c r="A15" s="19" t="str">
        <x:v>E012</x:v>
      </x:c>
      <x:c r="B15" s="19" t="str">
        <x:v>F020</x:v>
      </x:c>
      <x:c r="C15" s="19" t="str">
        <x:v>SAP TFL</x:v>
      </x:c>
      <x:c r="D15" s="19" t="str">
        <x:v>PP population tables</x:v>
      </x:c>
      <x:c r="E15" s="19" t="str">
        <x:v>定义依赖</x:v>
      </x:c>
      <x:c r="F15" s="19" t="str">
        <x:v>强</x:v>
      </x:c>
      <x:c r="G15" s="19" t="str">
        <x:v>必须更新</x:v>
      </x:c>
      <x:c r="H15" s="19" t="str">
        <x:v>统计/编程</x:v>
      </x:c>
      <x:c r="I15" s="19" t="str">
        <x:v>影响分析集</x:v>
      </x:c>
    </x:row>
    <x:row r="16" ht="15" hidden="0" customHeight="1">
      <x:c r="A16" s="19" t="str">
        <x:v>E013</x:v>
      </x:c>
      <x:c r="B16" s="19" t="str">
        <x:v>F014</x:v>
      </x:c>
      <x:c r="C16" s="19" t="str">
        <x:v>Registry results</x:v>
      </x:c>
      <x:c r="D16" s="19" t="str">
        <x:v>Primary outcome names</x:v>
      </x:c>
      <x:c r="E16" s="19" t="str">
        <x:v>语义</x:v>
      </x:c>
      <x:c r="F16" s="19" t="str">
        <x:v>强</x:v>
      </x:c>
      <x:c r="G16" s="19" t="str">
        <x:v>必须一致</x:v>
      </x:c>
      <x:c r="H16" s="19" t="str">
        <x:v>注册/统计</x:v>
      </x:c>
      <x:c r="I16" s="19" t="str">
        <x:v>AUC/Cmax定义</x:v>
      </x:c>
    </x:row>
    <x:row r="17" ht="15" hidden="0" customHeight="1">
      <x:c r="A17" s="19" t="str">
        <x:v>E014</x:v>
      </x:c>
      <x:c r="B17" s="19" t="str">
        <x:v>F018</x:v>
      </x:c>
      <x:c r="C17" s="19" t="str">
        <x:v>Site instructions</x:v>
      </x:c>
      <x:c r="D17" s="19" t="str">
        <x:v>Water restriction</x:v>
      </x:c>
      <x:c r="E17" s="19" t="str">
        <x:v>操作安全</x:v>
      </x:c>
      <x:c r="F17" s="19" t="str">
        <x:v>强</x:v>
      </x:c>
      <x:c r="G17" s="19" t="str">
        <x:v>阻断发布并升级人工核验</x:v>
      </x:c>
      <x:c r="H17" s="19" t="str">
        <x:v>医学/运营/质量</x:v>
      </x:c>
      <x:c r="I17" s="19" t="str">
        <x:v>内部硬冲突</x:v>
      </x:c>
    </x:row>
    <x:row r="18"/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24" hidden="0" customWidth="1"/>
    <x:col min="5" max="5" width="16" hidden="0" customWidth="1"/>
    <x:col min="6" max="6" width="52" hidden="0" customWidth="1"/>
    <x:col min="7" max="7" width="20" hidden="0" customWidth="1"/>
    <x:col min="8" max="8" width="12" hidden="0" customWidth="1"/>
    <x:col min="9" max="9" width="26" hidden="0" customWidth="1"/>
    <x:col min="10" max="10" width="24" hidden="0" customWidth="1"/>
    <x:col min="11" max="11" width="36" hidden="0" customWidth="1"/>
    <x:col min="12" max="12" width="32" hidden="0" customWidth="1"/>
  </x:cols>
  <x:sheetData>
    <x:row r="1" ht="19.200000762939453" hidden="0" customHeight="1">
      <x:c r="A1" s="5" t="str">
        <x:v>原型测试用例与预期金标准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/>
    <x:row r="3" ht="15" hidden="0" customHeight="1">
      <x:c r="A3" s="26" t="str">
        <x:v>TC_ID</x:v>
      </x:c>
      <x:c r="B3" s="26" t="str">
        <x:v>测试层级</x:v>
      </x:c>
      <x:c r="C3" s="26" t="str">
        <x:v>场景</x:v>
      </x:c>
      <x:c r="D3" s="26" t="str">
        <x:v>输入来源</x:v>
      </x:c>
      <x:c r="E3" s="26" t="str">
        <x:v>触发事实</x:v>
      </x:c>
      <x:c r="F3" s="26" t="str">
        <x:v>预期系统行为</x:v>
      </x:c>
      <x:c r="G3" s="26" t="str">
        <x:v>预期分类</x:v>
      </x:c>
      <x:c r="H3" s="26" t="str">
        <x:v>严重度</x:v>
      </x:c>
      <x:c r="I3" s="26" t="str">
        <x:v>是否允许自动修复</x:v>
      </x:c>
      <x:c r="J3" s="26" t="str">
        <x:v>人工责任角色</x:v>
      </x:c>
      <x:c r="K3" s="26" t="str">
        <x:v>验收判定</x:v>
      </x:c>
      <x:c r="L3" s="26" t="str">
        <x:v>备注</x:v>
      </x:c>
    </x:row>
    <x:row r="4" ht="15" hidden="0" customHeight="1">
      <x:c r="A4" s="19" t="str">
        <x:v>TC-SD-001</x:v>
      </x:c>
      <x:c r="B4" s="19" t="str">
        <x:v>单文档</x:v>
      </x:c>
      <x:c r="C4" s="19" t="str">
        <x:v>Protocol内饮水指令相反</x:v>
      </x:c>
      <x:c r="D4" s="19" t="str">
        <x:v>SRC-PROT</x:v>
      </x:c>
      <x:c r="E4" s="19" t="str">
        <x:v>F018</x:v>
      </x:c>
      <x:c r="F4" s="19" t="str">
        <x:v>定位两处证据，标为冲突，阻断该事实进入已确认状态</x:v>
      </x:c>
      <x:c r="G4" s="19" t="str">
        <x:v>硬冲突</x:v>
      </x:c>
      <x:c r="H4" s="19" t="str">
        <x:v>高</x:v>
      </x:c>
      <x:c r="I4" s="19" t="str">
        <x:v>否</x:v>
      </x:c>
      <x:c r="J4" s="19" t="str">
        <x:v>医学/临床运营/质量</x:v>
      </x:c>
      <x:c r="K4" s="19" t="str">
        <x:v>两处均检出且不擅自选值</x:v>
      </x:c>
      <x:c r="L4" s="19" t="str">
        <x:v>No water vs water only</x:v>
      </x:c>
    </x:row>
    <x:row r="5" ht="15" hidden="0" customHeight="1">
      <x:c r="A5" s="19" t="str">
        <x:v>TC-SD-002</x:v>
      </x:c>
      <x:c r="B5" s="19" t="str">
        <x:v>单文档</x:v>
      </x:c>
      <x:c r="C5" s="19" t="str">
        <x:v>洗脱/间隔表述 &gt;3 days 与 3 days</x:v>
      </x:c>
      <x:c r="D5" s="19" t="str">
        <x:v>SRC-PROT</x:v>
      </x:c>
      <x:c r="E5" s="19" t="str">
        <x:v>F007/F005</x:v>
      </x:c>
      <x:c r="F5" s="19" t="str">
        <x:v>提示数值边界差异，结合给药日1/4/7/10要求专家判断</x:v>
      </x:c>
      <x:c r="G5" s="19" t="str">
        <x:v>边界不一致</x:v>
      </x:c>
      <x:c r="H5" s="19" t="str">
        <x:v>中</x:v>
      </x:c>
      <x:c r="I5" s="19" t="str">
        <x:v>否</x:v>
      </x:c>
      <x:c r="J5" s="19" t="str">
        <x:v>临床药理/统计</x:v>
      </x:c>
      <x:c r="K5" s="19" t="str">
        <x:v>识别三处关联证据</x:v>
      </x:c>
      <x:c r="L5" s="19" t="str"/>
    </x:row>
    <x:row r="6" ht="26.399999618530273" hidden="0" customHeight="1">
      <x:c r="A6" s="19" t="str">
        <x:v>TC-SD-003</x:v>
      </x:c>
      <x:c r="B6" s="19" t="str">
        <x:v>单文档</x:v>
      </x:c>
      <x:c r="C6" s="19" t="str">
        <x:v>安全/ITT/evaluable/PP定义在Protocol不同章节漂移</x:v>
      </x:c>
      <x:c r="D6" s="19" t="str">
        <x:v>SRC-PROT</x:v>
      </x:c>
      <x:c r="E6" s="19" t="str">
        <x:v>F019-F021</x:v>
      </x:c>
      <x:c r="F6" s="19" t="str">
        <x:v>规范化术语并保留原文；报告潜在定义冲突</x:v>
      </x:c>
      <x:c r="G6" s="19" t="str">
        <x:v>术语/定义风险</x:v>
      </x:c>
      <x:c r="H6" s="19" t="str">
        <x:v>高</x:v>
      </x:c>
      <x:c r="I6" s="19" t="str">
        <x:v>否</x:v>
      </x:c>
      <x:c r="J6" s="19" t="str">
        <x:v>统计</x:v>
      </x:c>
      <x:c r="K6" s="19" t="str">
        <x:v>不得简单合并人群</x:v>
      </x:c>
      <x:c r="L6" s="19" t="str"/>
    </x:row>
    <x:row r="7" ht="15" hidden="0" customHeight="1">
      <x:c r="A7" s="19" t="str">
        <x:v>TC-XD-001</x:v>
      </x:c>
      <x:c r="B7" s="19" t="str">
        <x:v>跨文档</x:v>
      </x:c>
      <x:c r="C7" s="19" t="str">
        <x:v>Protocol/SAP 11 days vs ICF about 12 days</x:v>
      </x:c>
      <x:c r="D7" s="19" t="str">
        <x:v>SRC-PROT,SRC-SAP,SRC-ICF</x:v>
      </x:c>
      <x:c r="E7" s="19" t="str">
        <x:v>F009</x:v>
      </x:c>
      <x:c r="F7" s="19" t="str">
        <x:v>生成冲突卡并关联SoA、补偿、ICF</x:v>
      </x:c>
      <x:c r="G7" s="19" t="str">
        <x:v>跨文档冲突</x:v>
      </x:c>
      <x:c r="H7" s="19" t="str">
        <x:v>高</x:v>
      </x:c>
      <x:c r="I7" s="19" t="str">
        <x:v>否</x:v>
      </x:c>
      <x:c r="J7" s="19" t="str">
        <x:v>临床运营/伦理</x:v>
      </x:c>
      <x:c r="K7" s="19" t="str">
        <x:v>三份来源均定位</x:v>
      </x:c>
      <x:c r="L7" s="19" t="str"/>
    </x:row>
    <x:row r="8" ht="15" hidden="0" customHeight="1">
      <x:c r="A8" s="19" t="str">
        <x:v>TC-XD-002</x:v>
      </x:c>
      <x:c r="B8" s="19" t="str">
        <x:v>跨文档</x:v>
      </x:c>
      <x:c r="C8" s="19" t="str">
        <x:v>筛选≤30天 vs ICF最多31天</x:v>
      </x:c>
      <x:c r="D8" s="19" t="str">
        <x:v>SRC-PROT,SRC-ICF</x:v>
      </x:c>
      <x:c r="E8" s="19" t="str">
        <x:v>F008</x:v>
      </x:c>
      <x:c r="F8" s="19" t="str">
        <x:v>标为需专家判断，提示可能为包含端点的口径差异</x:v>
      </x:c>
      <x:c r="G8" s="19" t="str">
        <x:v>跨文档差异</x:v>
      </x:c>
      <x:c r="H8" s="19" t="str">
        <x:v>中</x:v>
      </x:c>
      <x:c r="I8" s="19" t="str">
        <x:v>否</x:v>
      </x:c>
      <x:c r="J8" s="19" t="str">
        <x:v>运营/伦理</x:v>
      </x:c>
      <x:c r="K8" s="19" t="str">
        <x:v>不直接判错</x:v>
      </x:c>
      <x:c r="L8" s="19" t="str"/>
    </x:row>
    <x:row r="9" ht="26.399999618530273" hidden="0" customHeight="1">
      <x:c r="A9" s="19" t="str">
        <x:v>TC-XD-003</x:v>
      </x:c>
      <x:c r="B9" s="19" t="str">
        <x:v>跨文档</x:v>
      </x:c>
      <x:c r="C9" s="19" t="str">
        <x:v>Protocol连续Day 1/4/7/10 vs CRF每Period Day 1</x:v>
      </x:c>
      <x:c r="D9" s="19" t="str">
        <x:v>SRC-PROT,SRC-SAP</x:v>
      </x:c>
      <x:c r="E9" s="19" t="str">
        <x:v>F022/F023</x:v>
      </x:c>
      <x:c r="F9" s="19" t="str">
        <x:v>建立双时间轴映射，不将其误判为单纯错误；保留显式转换规则</x:v>
      </x:c>
      <x:c r="G9" s="19" t="str">
        <x:v>模型映射差异</x:v>
      </x:c>
      <x:c r="H9" s="19" t="str">
        <x:v>高</x:v>
      </x:c>
      <x:c r="I9" s="19" t="str">
        <x:v>否</x:v>
      </x:c>
      <x:c r="J9" s="19" t="str">
        <x:v>数据管理/统计</x:v>
      </x:c>
      <x:c r="K9" s="19" t="str">
        <x:v>映射可解释且可回溯</x:v>
      </x:c>
      <x:c r="L9" s="19" t="str">
        <x:v>SAP明确说明该差异</x:v>
      </x:c>
    </x:row>
    <x:row r="10" ht="26.399999618530273" hidden="0" customHeight="1">
      <x:c r="A10" s="19" t="str">
        <x:v>TC-XD-004</x:v>
      </x:c>
      <x:c r="B10" s="19" t="str">
        <x:v>跨文档</x:v>
      </x:c>
      <x:c r="C10" s="19" t="str">
        <x:v>Protocol evaluable population vs SAP仅Safety/PP</x:v>
      </x:c>
      <x:c r="D10" s="19" t="str">
        <x:v>SRC-PROT,SRC-SAP</x:v>
      </x:c>
      <x:c r="E10" s="19" t="str">
        <x:v>F020/F021</x:v>
      </x:c>
      <x:c r="F10" s="19" t="str">
        <x:v>标为分析人群待确认，检查evaluable是否等同/包含PP</x:v>
      </x:c>
      <x:c r="G10" s="19" t="str">
        <x:v>统计定义风险</x:v>
      </x:c>
      <x:c r="H10" s="19" t="str">
        <x:v>高</x:v>
      </x:c>
      <x:c r="I10" s="19" t="str">
        <x:v>否</x:v>
      </x:c>
      <x:c r="J10" s="19" t="str">
        <x:v>统计</x:v>
      </x:c>
      <x:c r="K10" s="19" t="str">
        <x:v>输出定义矩阵</x:v>
      </x:c>
      <x:c r="L10" s="19" t="str"/>
    </x:row>
    <x:row r="11" ht="15" hidden="0" customHeight="1">
      <x:c r="A11" s="19" t="str">
        <x:v>TC-VS-001</x:v>
      </x:c>
      <x:c r="B11" s="19" t="str">
        <x:v>版本/状态</x:v>
      </x:c>
      <x:c r="C11" s="19" t="str">
        <x:v>计划上限32、目标24、实际入组24</x:v>
      </x:c>
      <x:c r="D11" s="19" t="str">
        <x:v>SRC-PROT,SRC-ICF,SRC-RES</x:v>
      </x:c>
      <x:c r="E11" s="19" t="str">
        <x:v>F010-F012</x:v>
      </x:c>
      <x:c r="F11" s="19" t="str">
        <x:v>保留planned/target/actual三种语义，不报告为冲突</x:v>
      </x:c>
      <x:c r="G11" s="19" t="str">
        <x:v>状态差异</x:v>
      </x:c>
      <x:c r="H11" s="19" t="str">
        <x:v>中</x:v>
      </x:c>
      <x:c r="I11" s="19" t="str">
        <x:v>否</x:v>
      </x:c>
      <x:c r="J11" s="19" t="str">
        <x:v>统计/项目管理</x:v>
      </x:c>
      <x:c r="K11" s="19" t="str">
        <x:v>三值正确分层</x:v>
      </x:c>
      <x:c r="L11" s="19" t="str"/>
    </x:row>
    <x:row r="12" ht="26.399999618530273" hidden="0" customHeight="1">
      <x:c r="A12" s="19" t="str">
        <x:v>TC-TR-001</x:v>
      </x:c>
      <x:c r="B12" s="19" t="str">
        <x:v>追溯</x:v>
      </x:c>
      <x:c r="C12" s="19" t="str">
        <x:v>每个关键事实必须有文档、页码/章节和证据摘要</x:v>
      </x:c>
      <x:c r="D12" s="19" t="str">
        <x:v>全部</x:v>
      </x:c>
      <x:c r="E12" s="19" t="str">
        <x:v>F001-F027</x:v>
      </x:c>
      <x:c r="F12" s="19" t="str">
        <x:v>缺少来源的事实不得变为已确认</x:v>
      </x:c>
      <x:c r="G12" s="19" t="str">
        <x:v>可追溯性</x:v>
      </x:c>
      <x:c r="H12" s="19" t="str">
        <x:v>高</x:v>
      </x:c>
      <x:c r="I12" s="19" t="str">
        <x:v>否</x:v>
      </x:c>
      <x:c r="J12" s="19" t="str">
        <x:v>质量</x:v>
      </x:c>
      <x:c r="K12" s="19" t="str">
        <x:v>关键事实来源完整率100%</x:v>
      </x:c>
      <x:c r="L12" s="19" t="str"/>
    </x:row>
    <x:row r="13" ht="26.399999618530273" hidden="0" customHeight="1">
      <x:c r="A13" s="19" t="str">
        <x:v>TC-MUT-001</x:v>
      </x:c>
      <x:c r="B13" s="19" t="str">
        <x:v>变更影响</x:v>
      </x:c>
      <x:c r="C13" s="19" t="str">
        <x:v>合成变更：最终PK时间32 h→36 h</x:v>
      </x:c>
      <x:c r="D13" s="19" t="str">
        <x:v>SRC-MUT</x:v>
      </x:c>
      <x:c r="E13" s="19" t="str">
        <x:v>F015</x:v>
      </x:c>
      <x:c r="F13" s="19" t="str">
        <x:v>影响Protocol、SoA、SAP、ICF、CRF、结果time frame；生成红线与重检任务</x:v>
      </x:c>
      <x:c r="G13" s="19" t="str">
        <x:v>合成变更</x:v>
      </x:c>
      <x:c r="H13" s="19" t="str">
        <x:v>高</x:v>
      </x:c>
      <x:c r="I13" s="19" t="str">
        <x:v>候选红线可自动生成，正式值不可自动覆盖</x:v>
      </x:c>
      <x:c r="J13" s="19" t="str">
        <x:v>临床药理/统计/运营/伦理</x:v>
      </x:c>
      <x:c r="K13" s="19" t="str">
        <x:v>至少命中E001-E005</x:v>
      </x:c>
      <x:c r="L13" s="19" t="str"/>
    </x:row>
    <x:row r="14" ht="15" hidden="0" customHeight="1">
      <x:c r="A14" s="19" t="str">
        <x:v>TC-MUT-002</x:v>
      </x:c>
      <x:c r="B14" s="19" t="str">
        <x:v>变更影响</x:v>
      </x:c>
      <x:c r="C14" s="19" t="str">
        <x:v>合成变更：目标PP样本24→28</x:v>
      </x:c>
      <x:c r="D14" s="19" t="str">
        <x:v>SRC-MUT</x:v>
      </x:c>
      <x:c r="E14" s="19" t="str">
        <x:v>F011/F025</x:v>
      </x:c>
      <x:c r="F14" s="19" t="str">
        <x:v>更新功效假设、随机上限评估、ICF人数、注册记录和SAP</x:v>
      </x:c>
      <x:c r="G14" s="19" t="str">
        <x:v>合成变更</x:v>
      </x:c>
      <x:c r="H14" s="19" t="str">
        <x:v>高</x:v>
      </x:c>
      <x:c r="I14" s="19" t="str">
        <x:v>否</x:v>
      </x:c>
      <x:c r="J14" s="19" t="str">
        <x:v>统计/伦理/运营</x:v>
      </x:c>
      <x:c r="K14" s="19" t="str">
        <x:v>至少命中E006-E007</x:v>
      </x:c>
      <x:c r="L14" s="19" t="str"/>
    </x:row>
    <x:row r="15" ht="15" hidden="0" customHeight="1">
      <x:c r="A15" s="19" t="str">
        <x:v>TC-QA-001</x:v>
      </x:c>
      <x:c r="B15" s="19" t="str">
        <x:v>责任控制</x:v>
      </x:c>
      <x:c r="C15" s="19" t="str">
        <x:v>冲突事实不可驱动正式文档</x:v>
      </x:c>
      <x:c r="D15" s="19" t="str">
        <x:v>全部</x:v>
      </x:c>
      <x:c r="E15" s="19" t="str">
        <x:v>冲突状态事实</x:v>
      </x:c>
      <x:c r="F15" s="19" t="str">
        <x:v>系统仅生成候选和待办，需角色确认后才进入有效事实基线</x:v>
      </x:c>
      <x:c r="G15" s="19" t="str">
        <x:v>流程控制</x:v>
      </x:c>
      <x:c r="H15" s="19" t="str">
        <x:v>高</x:v>
      </x:c>
      <x:c r="I15" s="19" t="str">
        <x:v>否</x:v>
      </x:c>
      <x:c r="J15" s="19" t="str">
        <x:v>批准者/质量</x:v>
      </x:c>
      <x:c r="K15" s="19" t="str">
        <x:v>无静默覆盖</x:v>
      </x:c>
      <x:c r="L15" s="19" t="str"/>
    </x:row>
    <x:row r="16"/>
  </x:sheetData>
  <x:mergeCells>
    <x:mergeCell ref="A1:L1"/>
  </x:mergeCells>
  <x:dataValidations count="1">
    <x:dataValidation type="list" sqref="H4:H15">
      <x:formula1>"低,中,高"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12" hidden="0" customWidth="1"/>
    <x:col min="6" max="6" width="12" hidden="0" customWidth="1"/>
    <x:col min="7" max="7" width="14" hidden="0" customWidth="1"/>
    <x:col min="8" max="8" width="10" hidden="0" customWidth="1"/>
    <x:col min="9" max="9" width="48" hidden="0" customWidth="1"/>
    <x:col min="10" max="10" width="18" hidden="0" customWidth="1"/>
    <x:col min="11" max="11" width="36" hidden="0" customWidth="1"/>
    <x:col min="12" max="12" width="30" hidden="0" customWidth="1"/>
  </x:cols>
  <x:sheetData>
    <x:row r="1" ht="19.200000762939453" hidden="0" customHeight="1">
      <x:c r="A1" s="5" t="str">
        <x:v>完全合成 CRF 字段映射（仅用于原型，不代表原始CRF）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/>
    <x:row r="3" ht="15" hidden="0" customHeight="1">
      <x:c r="A3" s="26" t="str">
        <x:v>Form_ID</x:v>
      </x:c>
      <x:c r="B3" s="26" t="str">
        <x:v>Form名称</x:v>
      </x:c>
      <x:c r="C3" s="26" t="str">
        <x:v>Variable</x:v>
      </x:c>
      <x:c r="D3" s="26" t="str">
        <x:v>字段标签</x:v>
      </x:c>
      <x:c r="E3" s="26" t="str">
        <x:v>类型</x:v>
      </x:c>
      <x:c r="F3" s="26" t="str">
        <x:v>必填</x:v>
      </x:c>
      <x:c r="G3" s="26" t="str">
        <x:v>Period</x:v>
      </x:c>
      <x:c r="H3" s="26" t="str">
        <x:v>Day</x:v>
      </x:c>
      <x:c r="I3" s="26" t="str">
        <x:v>允许时间/取值</x:v>
      </x:c>
      <x:c r="J3" s="26" t="str">
        <x:v>Source_Fact_ID</x:v>
      </x:c>
      <x:c r="K3" s="26" t="str">
        <x:v>来源依据</x:v>
      </x:c>
      <x:c r="L3" s="26" t="str">
        <x:v>变更影响</x:v>
      </x:c>
    </x:row>
    <x:row r="4" ht="15" hidden="0" customHeight="1">
      <x:c r="A4" s="19" t="str">
        <x:v>CRF-DM</x:v>
      </x:c>
      <x:c r="B4" s="19" t="str">
        <x:v>Demographics</x:v>
      </x:c>
      <x:c r="C4" s="19" t="str">
        <x:v>AGE</x:v>
      </x:c>
      <x:c r="D4" s="19" t="str">
        <x:v>Age at first dose</x:v>
      </x:c>
      <x:c r="E4" s="19" t="str">
        <x:v>Integer</x:v>
      </x:c>
      <x:c r="F4" s="19" t="str">
        <x:v>Y</x:v>
      </x:c>
      <x:c r="G4" s="19" t="str">
        <x:v>Screening</x:v>
      </x:c>
      <x:c r="H4" s="19" t="str">
        <x:v>-</x:v>
      </x:c>
      <x:c r="I4" s="19" t="str">
        <x:v>19–55</x:v>
      </x:c>
      <x:c r="J4" s="19" t="str">
        <x:v>F004</x:v>
      </x:c>
      <x:c r="K4" s="19" t="str">
        <x:v>Protocol inclusion</x:v>
      </x:c>
      <x:c r="L4" s="19" t="str">
        <x:v>年龄范围变化</x:v>
      </x:c>
    </x:row>
    <x:row r="5" ht="15" hidden="0" customHeight="1">
      <x:c r="A5" s="19" t="str">
        <x:v>CRF-DM</x:v>
      </x:c>
      <x:c r="B5" s="19" t="str">
        <x:v>Demographics</x:v>
      </x:c>
      <x:c r="C5" s="19" t="str">
        <x:v>SEX</x:v>
      </x:c>
      <x:c r="D5" s="19" t="str">
        <x:v>Sex</x:v>
      </x:c>
      <x:c r="E5" s="19" t="str">
        <x:v>Coded</x:v>
      </x:c>
      <x:c r="F5" s="19" t="str">
        <x:v>Y</x:v>
      </x:c>
      <x:c r="G5" s="19" t="str">
        <x:v>Screening</x:v>
      </x:c>
      <x:c r="H5" s="19" t="str">
        <x:v>-</x:v>
      </x:c>
      <x:c r="I5" s="19" t="str">
        <x:v>Male/Female</x:v>
      </x:c>
      <x:c r="J5" s="19" t="str">
        <x:v>F004</x:v>
      </x:c>
      <x:c r="K5" s="19" t="str">
        <x:v>Protocol population</x:v>
      </x:c>
      <x:c r="L5" s="19" t="str">
        <x:v>人群变化</x:v>
      </x:c>
    </x:row>
    <x:row r="6" ht="15" hidden="0" customHeight="1">
      <x:c r="A6" s="19" t="str">
        <x:v>CRF-EX</x:v>
      </x:c>
      <x:c r="B6" s="19" t="str">
        <x:v>Exposure</x:v>
      </x:c>
      <x:c r="C6" s="19" t="str">
        <x:v>TRTSEQ</x:v>
      </x:c>
      <x:c r="D6" s="19" t="str">
        <x:v>Randomized treatment sequence</x:v>
      </x:c>
      <x:c r="E6" s="19" t="str">
        <x:v>Coded</x:v>
      </x:c>
      <x:c r="F6" s="19" t="str">
        <x:v>Y</x:v>
      </x:c>
      <x:c r="G6" s="19" t="str">
        <x:v>All</x:v>
      </x:c>
      <x:c r="H6" s="19" t="str">
        <x:v>-</x:v>
      </x:c>
      <x:c r="I6" s="19" t="str">
        <x:v>ABDC/B CAD/CDBA/DACB</x:v>
      </x:c>
      <x:c r="J6" s="19" t="str">
        <x:v>F005/F006</x:v>
      </x:c>
      <x:c r="K6" s="19" t="str">
        <x:v>Protocol sequence table</x:v>
      </x:c>
      <x:c r="L6" s="19" t="str">
        <x:v>设计变化</x:v>
      </x:c>
    </x:row>
    <x:row r="7" ht="15" hidden="0" customHeight="1">
      <x:c r="A7" s="19" t="str">
        <x:v>CRF-EX</x:v>
      </x:c>
      <x:c r="B7" s="19" t="str">
        <x:v>Exposure</x:v>
      </x:c>
      <x:c r="C7" s="19" t="str">
        <x:v>PERIOD</x:v>
      </x:c>
      <x:c r="D7" s="19" t="str">
        <x:v>Study period</x:v>
      </x:c>
      <x:c r="E7" s="19" t="str">
        <x:v>Integer</x:v>
      </x:c>
      <x:c r="F7" s="19" t="str">
        <x:v>Y</x:v>
      </x:c>
      <x:c r="G7" s="19" t="str">
        <x:v>1–4</x:v>
      </x:c>
      <x:c r="H7" s="19" t="str">
        <x:v>-</x:v>
      </x:c>
      <x:c r="I7" s="19" t="str">
        <x:v>1,2,3,4</x:v>
      </x:c>
      <x:c r="J7" s="19" t="str">
        <x:v>F023</x:v>
      </x:c>
      <x:c r="K7" s="19" t="str">
        <x:v>SAP CRF time model</x:v>
      </x:c>
      <x:c r="L7" s="19" t="str">
        <x:v>时间轴变化</x:v>
      </x:c>
    </x:row>
    <x:row r="8" ht="15" hidden="0" customHeight="1">
      <x:c r="A8" s="19" t="str">
        <x:v>CRF-EX</x:v>
      </x:c>
      <x:c r="B8" s="19" t="str">
        <x:v>Exposure</x:v>
      </x:c>
      <x:c r="C8" s="19" t="str">
        <x:v>TRT</x:v>
      </x:c>
      <x:c r="D8" s="19" t="str">
        <x:v>Treatment</x:v>
      </x:c>
      <x:c r="E8" s="19" t="str">
        <x:v>Coded</x:v>
      </x:c>
      <x:c r="F8" s="19" t="str">
        <x:v>Y</x:v>
      </x:c>
      <x:c r="G8" s="19" t="str">
        <x:v>1–4</x:v>
      </x:c>
      <x:c r="H8" s="19" t="str">
        <x:v>1</x:v>
      </x:c>
      <x:c r="I8" s="19" t="str">
        <x:v>10F/20F/30F/30Fed</x:v>
      </x:c>
      <x:c r="J8" s="19" t="str">
        <x:v>F006</x:v>
      </x:c>
      <x:c r="K8" s="19" t="str">
        <x:v>Protocol treatments</x:v>
      </x:c>
      <x:c r="L8" s="19" t="str">
        <x:v>剂量/食物变化</x:v>
      </x:c>
    </x:row>
    <x:row r="9" ht="15" hidden="0" customHeight="1">
      <x:c r="A9" s="19" t="str">
        <x:v>CRF-EX</x:v>
      </x:c>
      <x:c r="B9" s="19" t="str">
        <x:v>Exposure</x:v>
      </x:c>
      <x:c r="C9" s="19" t="str">
        <x:v>EXDAT</x:v>
      </x:c>
      <x:c r="D9" s="19" t="str">
        <x:v>Dose date</x:v>
      </x:c>
      <x:c r="E9" s="19" t="str">
        <x:v>Date</x:v>
      </x:c>
      <x:c r="F9" s="19" t="str">
        <x:v>Y</x:v>
      </x:c>
      <x:c r="G9" s="19" t="str">
        <x:v>1–4</x:v>
      </x:c>
      <x:c r="H9" s="19" t="str">
        <x:v>1</x:v>
      </x:c>
      <x:c r="I9" s="19" t="str">
        <x:v>Actual date</x:v>
      </x:c>
      <x:c r="J9" s="19" t="str">
        <x:v>F022/F023</x:v>
      </x:c>
      <x:c r="K9" s="19" t="str">
        <x:v>Protocol-to-CRF mapping</x:v>
      </x:c>
      <x:c r="L9" s="19" t="str">
        <x:v>时间轴映射</x:v>
      </x:c>
    </x:row>
    <x:row r="10" ht="15" hidden="0" customHeight="1">
      <x:c r="A10" s="19" t="str">
        <x:v>CRF-EX</x:v>
      </x:c>
      <x:c r="B10" s="19" t="str">
        <x:v>Exposure</x:v>
      </x:c>
      <x:c r="C10" s="19" t="str">
        <x:v>EXTIM</x:v>
      </x:c>
      <x:c r="D10" s="19" t="str">
        <x:v>Dose time</x:v>
      </x:c>
      <x:c r="E10" s="19" t="str">
        <x:v>Time</x:v>
      </x:c>
      <x:c r="F10" s="19" t="str">
        <x:v>Y</x:v>
      </x:c>
      <x:c r="G10" s="19" t="str">
        <x:v>1–4</x:v>
      </x:c>
      <x:c r="H10" s="19" t="str">
        <x:v>1</x:v>
      </x:c>
      <x:c r="I10" s="19" t="str">
        <x:v>HH:MM:SS</x:v>
      </x:c>
      <x:c r="J10" s="19" t="str">
        <x:v>F006</x:v>
      </x:c>
      <x:c r="K10" s="19" t="str">
        <x:v>SAP listing spec</x:v>
      </x:c>
      <x:c r="L10" s="19" t="str">
        <x:v>PK相对时间计算</x:v>
      </x:c>
    </x:row>
    <x:row r="11" ht="15" hidden="0" customHeight="1">
      <x:c r="A11" s="19" t="str">
        <x:v>CRF-ML</x:v>
      </x:c>
      <x:c r="B11" s="19" t="str">
        <x:v>Meal</x:v>
      </x:c>
      <x:c r="C11" s="19" t="str">
        <x:v>MEALSTART</x:v>
      </x:c>
      <x:c r="D11" s="19" t="str">
        <x:v>Meal start time</x:v>
      </x:c>
      <x:c r="E11" s="19" t="str">
        <x:v>Time</x:v>
      </x:c>
      <x:c r="F11" s="19" t="str">
        <x:v>Conditional</x:v>
      </x:c>
      <x:c r="G11" s="19" t="str">
        <x:v>Fed period</x:v>
      </x:c>
      <x:c r="H11" s="19" t="str">
        <x:v>1</x:v>
      </x:c>
      <x:c r="I11" s="19" t="str">
        <x:v>~30 min before dose</x:v>
      </x:c>
      <x:c r="J11" s="19" t="str">
        <x:v>F017</x:v>
      </x:c>
      <x:c r="K11" s="19" t="str">
        <x:v>Protocol fed condition</x:v>
      </x:c>
      <x:c r="L11" s="19" t="str">
        <x:v>食物效应</x:v>
      </x:c>
    </x:row>
    <x:row r="12" ht="15" hidden="0" customHeight="1">
      <x:c r="A12" s="19" t="str">
        <x:v>CRF-ML</x:v>
      </x:c>
      <x:c r="B12" s="19" t="str">
        <x:v>Meal</x:v>
      </x:c>
      <x:c r="C12" s="19" t="str">
        <x:v>MEALSTOP</x:v>
      </x:c>
      <x:c r="D12" s="19" t="str">
        <x:v>Meal stop time</x:v>
      </x:c>
      <x:c r="E12" s="19" t="str">
        <x:v>Time</x:v>
      </x:c>
      <x:c r="F12" s="19" t="str">
        <x:v>Conditional</x:v>
      </x:c>
      <x:c r="G12" s="19" t="str">
        <x:v>Fed period</x:v>
      </x:c>
      <x:c r="H12" s="19" t="str">
        <x:v>1</x:v>
      </x:c>
      <x:c r="I12" s="19" t="str">
        <x:v>within 20 min</x:v>
      </x:c>
      <x:c r="J12" s="19" t="str">
        <x:v>F017</x:v>
      </x:c>
      <x:c r="K12" s="19" t="str">
        <x:v>Protocol fed condition</x:v>
      </x:c>
      <x:c r="L12" s="19" t="str">
        <x:v>食物效应</x:v>
      </x:c>
    </x:row>
    <x:row r="13" ht="15" hidden="0" customHeight="1">
      <x:c r="A13" s="19" t="str">
        <x:v>CRF-PC</x:v>
      </x:c>
      <x:c r="B13" s="19" t="str">
        <x:v>PK Collection</x:v>
      </x:c>
      <x:c r="C13" s="19" t="str">
        <x:v>PCTPT</x:v>
      </x:c>
      <x:c r="D13" s="19" t="str">
        <x:v>Nominal PK timepoint</x:v>
      </x:c>
      <x:c r="E13" s="19" t="str">
        <x:v>Coded</x:v>
      </x:c>
      <x:c r="F13" s="19" t="str">
        <x:v>Y</x:v>
      </x:c>
      <x:c r="G13" s="19" t="str">
        <x:v>1–4</x:v>
      </x:c>
      <x:c r="H13" s="19" t="str">
        <x:v>1–2</x:v>
      </x:c>
      <x:c r="I13" s="19" t="str">
        <x:v>0,0.5,1,1.5,2,2.5,3,3.5,4,6,8,12,16,24,32 h</x:v>
      </x:c>
      <x:c r="J13" s="19" t="str">
        <x:v>F015</x:v>
      </x:c>
      <x:c r="K13" s="19" t="str">
        <x:v>Protocol PK schedule</x:v>
      </x:c>
      <x:c r="L13" s="19" t="str">
        <x:v>TC-MUT-001改为36 h</x:v>
      </x:c>
    </x:row>
    <x:row r="14" ht="15" hidden="0" customHeight="1">
      <x:c r="A14" s="19" t="str">
        <x:v>CRF-PC</x:v>
      </x:c>
      <x:c r="B14" s="19" t="str">
        <x:v>PK Collection</x:v>
      </x:c>
      <x:c r="C14" s="19" t="str">
        <x:v>PCDAT</x:v>
      </x:c>
      <x:c r="D14" s="19" t="str">
        <x:v>Collection date</x:v>
      </x:c>
      <x:c r="E14" s="19" t="str">
        <x:v>Date</x:v>
      </x:c>
      <x:c r="F14" s="19" t="str">
        <x:v>Y</x:v>
      </x:c>
      <x:c r="G14" s="19" t="str">
        <x:v>1–4</x:v>
      </x:c>
      <x:c r="H14" s="19" t="str">
        <x:v>1–2</x:v>
      </x:c>
      <x:c r="I14" s="19" t="str">
        <x:v>Actual</x:v>
      </x:c>
      <x:c r="J14" s="19" t="str">
        <x:v>F015</x:v>
      </x:c>
      <x:c r="K14" s="19" t="str">
        <x:v>Protocol PK schedule</x:v>
      </x:c>
      <x:c r="L14" s="19" t="str">
        <x:v>采样窗变化</x:v>
      </x:c>
    </x:row>
    <x:row r="15" ht="15" hidden="0" customHeight="1">
      <x:c r="A15" s="19" t="str">
        <x:v>CRF-PC</x:v>
      </x:c>
      <x:c r="B15" s="19" t="str">
        <x:v>PK Collection</x:v>
      </x:c>
      <x:c r="C15" s="19" t="str">
        <x:v>PCTIM</x:v>
      </x:c>
      <x:c r="D15" s="19" t="str">
        <x:v>Collection time</x:v>
      </x:c>
      <x:c r="E15" s="19" t="str">
        <x:v>Time</x:v>
      </x:c>
      <x:c r="F15" s="19" t="str">
        <x:v>Y</x:v>
      </x:c>
      <x:c r="G15" s="19" t="str">
        <x:v>1–4</x:v>
      </x:c>
      <x:c r="H15" s="19" t="str">
        <x:v>1–2</x:v>
      </x:c>
      <x:c r="I15" s="19" t="str">
        <x:v>Actual</x:v>
      </x:c>
      <x:c r="J15" s="19" t="str">
        <x:v>F015</x:v>
      </x:c>
      <x:c r="K15" s="19" t="str">
        <x:v>Protocol PK schedule</x:v>
      </x:c>
      <x:c r="L15" s="19" t="str">
        <x:v>AUC计算</x:v>
      </x:c>
    </x:row>
    <x:row r="16" ht="15" hidden="0" customHeight="1">
      <x:c r="A16" s="19" t="str">
        <x:v>CRF-AE</x:v>
      </x:c>
      <x:c r="B16" s="19" t="str">
        <x:v>Adverse Events</x:v>
      </x:c>
      <x:c r="C16" s="19" t="str">
        <x:v>AETERM</x:v>
      </x:c>
      <x:c r="D16" s="19" t="str">
        <x:v>Adverse event verbatim term</x:v>
      </x:c>
      <x:c r="E16" s="19" t="str">
        <x:v>Text</x:v>
      </x:c>
      <x:c r="F16" s="19" t="str">
        <x:v>Conditional</x:v>
      </x:c>
      <x:c r="G16" s="19" t="str">
        <x:v>All</x:v>
      </x:c>
      <x:c r="H16" s="19" t="str">
        <x:v>All</x:v>
      </x:c>
      <x:c r="I16" s="19" t="str">
        <x:v>Free text</x:v>
      </x:c>
      <x:c r="J16" s="19" t="str">
        <x:v>F013/F014</x:v>
      </x:c>
      <x:c r="K16" s="19" t="str">
        <x:v>Protocol safety endpoint</x:v>
      </x:c>
      <x:c r="L16" s="19" t="str">
        <x:v>安全分析</x:v>
      </x:c>
    </x:row>
    <x:row r="17" ht="15" hidden="0" customHeight="1">
      <x:c r="A17" s="19" t="str">
        <x:v>CRF-AE</x:v>
      </x:c>
      <x:c r="B17" s="19" t="str">
        <x:v>Adverse Events</x:v>
      </x:c>
      <x:c r="C17" s="19" t="str">
        <x:v>AESTDTC</x:v>
      </x:c>
      <x:c r="D17" s="19" t="str">
        <x:v>AE start datetime</x:v>
      </x:c>
      <x:c r="E17" s="19" t="str">
        <x:v>Datetime</x:v>
      </x:c>
      <x:c r="F17" s="19" t="str">
        <x:v>Conditional</x:v>
      </x:c>
      <x:c r="G17" s="19" t="str">
        <x:v>All</x:v>
      </x:c>
      <x:c r="H17" s="19" t="str">
        <x:v>All</x:v>
      </x:c>
      <x:c r="I17" s="19" t="str">
        <x:v>Actual</x:v>
      </x:c>
      <x:c r="J17" s="19" t="str">
        <x:v>F019</x:v>
      </x:c>
      <x:c r="K17" s="19" t="str">
        <x:v>SAP TEAE attribution</x:v>
      </x:c>
      <x:c r="L17" s="19" t="str">
        <x:v>处理归因</x:v>
      </x:c>
    </x:row>
    <x:row r="18" ht="15" hidden="0" customHeight="1">
      <x:c r="A18" s="19" t="str">
        <x:v>CRF-DS</x:v>
      </x:c>
      <x:c r="B18" s="19" t="str">
        <x:v>Disposition</x:v>
      </x:c>
      <x:c r="C18" s="19" t="str">
        <x:v>PPFL</x:v>
      </x:c>
      <x:c r="D18" s="19" t="str">
        <x:v>Per-protocol flag</x:v>
      </x:c>
      <x:c r="E18" s="19" t="str">
        <x:v>Coded</x:v>
      </x:c>
      <x:c r="F18" s="19" t="str">
        <x:v>Derived</x:v>
      </x:c>
      <x:c r="G18" s="19" t="str">
        <x:v>All</x:v>
      </x:c>
      <x:c r="H18" s="19" t="str">
        <x:v>11</x:v>
      </x:c>
      <x:c r="I18" s="19" t="str">
        <x:v>Y/N</x:v>
      </x:c>
      <x:c r="J18" s="19" t="str">
        <x:v>F020</x:v>
      </x:c>
      <x:c r="K18" s="19" t="str">
        <x:v>SAP PP definition</x:v>
      </x:c>
      <x:c r="L18" s="19" t="str">
        <x:v>分析人群</x:v>
      </x:c>
    </x:row>
    <x:row r="19"/>
  </x:sheetData>
  <x:mergeCells>
    <x:mergeCell ref="A1:L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2" hidden="0" customWidth="1"/>
  </x:cols>
  <x:sheetData>
    <x:row r="1" ht="19.200000762939453" hidden="0" customHeight="1">
      <x:c r="A1" s="5" t="str">
        <x:v>原型评价记录表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/>
    <x:row r="3" ht="15" hidden="0" customHeight="1">
      <x:c r="A3" s="26" t="str">
        <x:v>模块</x:v>
      </x:c>
      <x:c r="B3" s="26" t="str">
        <x:v>指标</x:v>
      </x:c>
      <x:c r="C3" s="26" t="str">
        <x:v>TP</x:v>
      </x:c>
      <x:c r="D3" s="26" t="str">
        <x:v>FP</x:v>
      </x:c>
      <x:c r="E3" s="26" t="str">
        <x:v>FN</x:v>
      </x:c>
      <x:c r="F3" s="26" t="str">
        <x:v>Precision</x:v>
      </x:c>
      <x:c r="G3" s="26" t="str">
        <x:v>Recall</x:v>
      </x:c>
      <x:c r="H3" s="26" t="str">
        <x:v>F1</x:v>
      </x:c>
      <x:c r="I3" s="26" t="str">
        <x:v>目标</x:v>
      </x:c>
      <x:c r="J3" s="26" t="str">
        <x:v>备注</x:v>
      </x:c>
    </x:row>
    <x:row r="4" ht="15" hidden="0" customHeight="1">
      <x:c r="A4" s="19" t="str">
        <x:v>事实抽取</x:v>
      </x:c>
      <x:c r="B4" s="19" t="str">
        <x:v>关键事实识别</x:v>
      </x:c>
      <x:c r="C4" s="38" t="n">
        <x:v>0</x:v>
      </x:c>
      <x:c r="D4" s="38" t="n">
        <x:v>0</x:v>
      </x:c>
      <x:c r="E4" s="38" t="n">
        <x:v>0</x:v>
      </x:c>
      <x:c r="F4" s="36" t="n">
        <x:f>IFERROR(C4/(C4+D4),0)</x:f>
        <x:v>0</x:v>
      </x:c>
      <x:c r="G4" s="36" t="n">
        <x:f>IFERROR(C4/(C4+E4),0)</x:f>
        <x:v>0</x:v>
      </x:c>
      <x:c r="H4" s="36" t="n">
        <x:f>IFERROR(2*F4*G4/(F4+G4),0)</x:f>
        <x:v>0</x:v>
      </x:c>
      <x:c r="I4" s="19" t="str">
        <x:v>&gt;=0.95</x:v>
      </x:c>
      <x:c r="J4" s="19" t="str">
        <x:v>以Trial_Fact_Sheet人工金标准为参照</x:v>
      </x:c>
    </x:row>
    <x:row r="5" ht="15" hidden="0" customHeight="1">
      <x:c r="A5" s="19" t="str">
        <x:v>冲突识别</x:v>
      </x:c>
      <x:c r="B5" s="19" t="str">
        <x:v>单文档冲突</x:v>
      </x:c>
      <x:c r="C5" s="38" t="n">
        <x:v>0</x:v>
      </x:c>
      <x:c r="D5" s="38" t="n">
        <x:v>0</x:v>
      </x:c>
      <x:c r="E5" s="38" t="n">
        <x:v>0</x:v>
      </x:c>
      <x:c r="F5" s="36" t="n">
        <x:f>IFERROR(C5/(C5+D5),0)</x:f>
        <x:v>0</x:v>
      </x:c>
      <x:c r="G5" s="36" t="n">
        <x:f>IFERROR(C5/(C5+E5),0)</x:f>
        <x:v>0</x:v>
      </x:c>
      <x:c r="H5" s="36" t="n">
        <x:f>IFERROR(2*F5*G5/(F5+G5),0)</x:f>
        <x:v>0</x:v>
      </x:c>
      <x:c r="I5" s="19" t="str">
        <x:v>&gt;=0.90</x:v>
      </x:c>
      <x:c r="J5" s="19" t="str">
        <x:v>TC-SD系列</x:v>
      </x:c>
    </x:row>
    <x:row r="6" ht="15" hidden="0" customHeight="1">
      <x:c r="A6" s="19" t="str">
        <x:v>冲突识别</x:v>
      </x:c>
      <x:c r="B6" s="19" t="str">
        <x:v>跨文档冲突</x:v>
      </x:c>
      <x:c r="C6" s="38" t="n">
        <x:v>0</x:v>
      </x:c>
      <x:c r="D6" s="38" t="n">
        <x:v>0</x:v>
      </x:c>
      <x:c r="E6" s="38" t="n">
        <x:v>0</x:v>
      </x:c>
      <x:c r="F6" s="36" t="n">
        <x:f>IFERROR(C6/(C6+D6),0)</x:f>
        <x:v>0</x:v>
      </x:c>
      <x:c r="G6" s="36" t="n">
        <x:f>IFERROR(C6/(C6+E6),0)</x:f>
        <x:v>0</x:v>
      </x:c>
      <x:c r="H6" s="36" t="n">
        <x:f>IFERROR(2*F6*G6/(F6+G6),0)</x:f>
        <x:v>0</x:v>
      </x:c>
      <x:c r="I6" s="19" t="str">
        <x:v>&gt;=0.90</x:v>
      </x:c>
      <x:c r="J6" s="19" t="str">
        <x:v>TC-XD系列</x:v>
      </x:c>
    </x:row>
    <x:row r="7" ht="15" hidden="0" customHeight="1">
      <x:c r="A7" s="19" t="str">
        <x:v>影响分析</x:v>
      </x:c>
      <x:c r="B7" s="19" t="str">
        <x:v>变更受影响对象</x:v>
      </x:c>
      <x:c r="C7" s="38" t="n">
        <x:v>0</x:v>
      </x:c>
      <x:c r="D7" s="38" t="n">
        <x:v>0</x:v>
      </x:c>
      <x:c r="E7" s="38" t="n">
        <x:v>0</x:v>
      </x:c>
      <x:c r="F7" s="36" t="n">
        <x:f>IFERROR(C7/(C7+D7),0)</x:f>
        <x:v>0</x:v>
      </x:c>
      <x:c r="G7" s="36" t="n">
        <x:f>IFERROR(C7/(C7+E7),0)</x:f>
        <x:v>0</x:v>
      </x:c>
      <x:c r="H7" s="36" t="n">
        <x:f>IFERROR(2*F7*G7/(F7+G7),0)</x:f>
        <x:v>0</x:v>
      </x:c>
      <x:c r="I7" s="19" t="str">
        <x:v>&gt;=0.90</x:v>
      </x:c>
      <x:c r="J7" s="19" t="str">
        <x:v>TC-MUT系列</x:v>
      </x:c>
    </x:row>
    <x:row r="8" ht="15" hidden="0" customHeight="1">
      <x:c r="A8" s="19" t="str">
        <x:v>来源追溯</x:v>
      </x:c>
      <x:c r="B8" s="19" t="str">
        <x:v>来源定位正确</x:v>
      </x:c>
      <x:c r="C8" s="38" t="n">
        <x:v>0</x:v>
      </x:c>
      <x:c r="D8" s="38" t="n">
        <x:v>0</x:v>
      </x:c>
      <x:c r="E8" s="38" t="n">
        <x:v>0</x:v>
      </x:c>
      <x:c r="F8" s="36" t="n">
        <x:f>IFERROR(C8/(C8+D8),0)</x:f>
        <x:v>0</x:v>
      </x:c>
      <x:c r="G8" s="36" t="n">
        <x:f>IFERROR(C8/(C8+E8),0)</x:f>
        <x:v>0</x:v>
      </x:c>
      <x:c r="H8" s="36" t="n">
        <x:f>IFERROR(2*F8*G8/(F8+G8),0)</x:f>
        <x:v>0</x:v>
      </x:c>
      <x:c r="I8" s="19" t="str">
        <x:v>1.00</x:v>
      </x:c>
      <x:c r="J8" s="19" t="str">
        <x:v>页码/章节/证据</x:v>
      </x:c>
    </x:row>
    <x:row r="9"/>
    <x:row r="10" ht="79.19999694824219" hidden="0" customHeight="1">
      <x:c r="A10" s="42" t="str">
        <x:v>建议同时记录：关键数值Exact Match、来源页码命中率、人工推翻率、冲突漏检率、变更影响漏检率。</x:v>
      </x:c>
      <x:c r="B10" s="42"/>
      <x:c r="C10" s="42"/>
      <x:c r="D10" s="42"/>
      <x:c r="E10" s="42"/>
      <x:c r="F10" s="42"/>
      <x:c r="G10" s="42"/>
      <x:c r="H10" s="42"/>
      <x:c r="I10" s="42"/>
      <x:c r="J10" s="42"/>
    </x:row>
    <x:row r="11"/>
  </x:sheetData>
  <x:mergeCells>
    <x:mergeCell ref="A1:J1"/>
    <x:mergeCell ref="A10:J10"/>
  </x:mergeCells>
  <x:conditionalFormatting sqref="F4:H8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